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drawings/drawing2.xml" ContentType="application/vnd.openxmlformats-officedocument.drawing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GlenA\Documents\GitHub\serotonin\THESIS\"/>
    </mc:Choice>
  </mc:AlternateContent>
  <xr:revisionPtr revIDLastSave="0" documentId="13_ncr:1_{0BE506CE-765B-4ACD-9434-A9D0BCB99E7C}" xr6:coauthVersionLast="47" xr6:coauthVersionMax="47" xr10:uidLastSave="{00000000-0000-0000-0000-000000000000}"/>
  <bookViews>
    <workbookView xWindow="-108" yWindow="-108" windowWidth="23256" windowHeight="12456" xr2:uid="{2C90E502-06BA-4582-B789-DE830060AC34}"/>
  </bookViews>
  <sheets>
    <sheet name="Cosine Data" sheetId="2" r:id="rId1"/>
    <sheet name="Heuristic Analysis" sheetId="7" r:id="rId2"/>
    <sheet name="for RSTUDIO" sheetId="6" r:id="rId3"/>
    <sheet name="neural 12345" sheetId="5" r:id="rId4"/>
    <sheet name="OLD Heuristic Analysis" sheetId="4" r:id="rId5"/>
    <sheet name="Old Pearson R" sheetId="3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32" i="2" l="1"/>
  <c r="AA32" i="2"/>
  <c r="AB32" i="2"/>
  <c r="AC32" i="2"/>
  <c r="AD32" i="2"/>
  <c r="AE32" i="2"/>
  <c r="AF32" i="2"/>
  <c r="AG32" i="2"/>
  <c r="AH32" i="2"/>
  <c r="AI32" i="2"/>
  <c r="Z32" i="2"/>
  <c r="AB29" i="2"/>
  <c r="AC29" i="2"/>
  <c r="AD29" i="2"/>
  <c r="AE29" i="2"/>
  <c r="AF29" i="2"/>
  <c r="AG29" i="2"/>
  <c r="AH29" i="2"/>
  <c r="AI29" i="2"/>
  <c r="AA29" i="2"/>
  <c r="AB25" i="2"/>
  <c r="AC25" i="2"/>
  <c r="AD25" i="2"/>
  <c r="AE25" i="2"/>
  <c r="AF25" i="2"/>
  <c r="AG25" i="2"/>
  <c r="AH25" i="2"/>
  <c r="AI25" i="2"/>
  <c r="AA25" i="2"/>
  <c r="AB21" i="2"/>
  <c r="AC21" i="2"/>
  <c r="AD21" i="2"/>
  <c r="AE21" i="2"/>
  <c r="AF21" i="2"/>
  <c r="AG21" i="2"/>
  <c r="AH21" i="2"/>
  <c r="AI21" i="2"/>
  <c r="AA21" i="2"/>
  <c r="V133" i="2"/>
  <c r="V134" i="2"/>
  <c r="V135" i="2"/>
  <c r="V136" i="2"/>
  <c r="V137" i="2"/>
  <c r="V138" i="2"/>
  <c r="V139" i="2"/>
  <c r="V140" i="2"/>
  <c r="V141" i="2"/>
  <c r="V132" i="2"/>
  <c r="S133" i="2"/>
  <c r="S134" i="2"/>
  <c r="S135" i="2"/>
  <c r="S136" i="2"/>
  <c r="S137" i="2"/>
  <c r="S138" i="2"/>
  <c r="S139" i="2"/>
  <c r="S140" i="2"/>
  <c r="S141" i="2"/>
  <c r="S132" i="2"/>
  <c r="P133" i="2"/>
  <c r="P134" i="2"/>
  <c r="P135" i="2"/>
  <c r="P136" i="2"/>
  <c r="P137" i="2"/>
  <c r="P138" i="2"/>
  <c r="P139" i="2"/>
  <c r="P140" i="2"/>
  <c r="P141" i="2"/>
  <c r="P132" i="2"/>
  <c r="N15" i="3"/>
  <c r="P21" i="4"/>
  <c r="P17" i="4"/>
  <c r="Q17" i="4"/>
  <c r="R17" i="4"/>
  <c r="S17" i="4"/>
  <c r="T17" i="4"/>
  <c r="O17" i="4"/>
  <c r="S6" i="4"/>
  <c r="S7" i="4"/>
  <c r="S8" i="4"/>
  <c r="S9" i="4"/>
  <c r="S10" i="4"/>
  <c r="S11" i="4"/>
  <c r="S12" i="4"/>
  <c r="S13" i="4"/>
  <c r="S14" i="4"/>
  <c r="R6" i="4"/>
  <c r="R7" i="4"/>
  <c r="R8" i="4"/>
  <c r="R9" i="4"/>
  <c r="R10" i="4"/>
  <c r="R11" i="4"/>
  <c r="R12" i="4"/>
  <c r="R13" i="4"/>
  <c r="R14" i="4"/>
  <c r="S5" i="4"/>
  <c r="R5" i="4"/>
  <c r="T6" i="4"/>
  <c r="T7" i="4"/>
  <c r="T8" i="4"/>
  <c r="T9" i="4"/>
  <c r="T10" i="4"/>
  <c r="T11" i="4"/>
  <c r="T12" i="4"/>
  <c r="T13" i="4"/>
  <c r="T14" i="4"/>
  <c r="T5" i="4"/>
  <c r="D18" i="4"/>
  <c r="D17" i="4"/>
  <c r="M18" i="4"/>
  <c r="L18" i="4"/>
  <c r="K18" i="4"/>
  <c r="J18" i="4"/>
  <c r="I18" i="4"/>
  <c r="H18" i="4"/>
  <c r="G18" i="4"/>
  <c r="F18" i="4"/>
  <c r="E18" i="4"/>
  <c r="M17" i="4"/>
  <c r="L17" i="4"/>
  <c r="K17" i="4"/>
  <c r="J17" i="4"/>
  <c r="I17" i="4"/>
  <c r="H17" i="4"/>
  <c r="G17" i="4"/>
  <c r="F17" i="4"/>
  <c r="E17" i="4"/>
  <c r="U76" i="2"/>
  <c r="T76" i="2"/>
  <c r="S76" i="2"/>
  <c r="R76" i="2"/>
  <c r="Q76" i="2"/>
  <c r="P76" i="2"/>
  <c r="O76" i="2"/>
  <c r="N76" i="2"/>
  <c r="M76" i="2"/>
  <c r="U75" i="2"/>
  <c r="T75" i="2"/>
  <c r="S75" i="2"/>
  <c r="R75" i="2"/>
  <c r="Q75" i="2"/>
  <c r="P75" i="2"/>
  <c r="O75" i="2"/>
  <c r="N75" i="2"/>
  <c r="M75" i="2"/>
  <c r="U74" i="2"/>
  <c r="T74" i="2"/>
  <c r="S74" i="2"/>
  <c r="R74" i="2"/>
  <c r="Q74" i="2"/>
  <c r="P74" i="2"/>
  <c r="O74" i="2"/>
  <c r="N74" i="2"/>
  <c r="M74" i="2"/>
  <c r="U73" i="2"/>
  <c r="T73" i="2"/>
  <c r="S73" i="2"/>
  <c r="R73" i="2"/>
  <c r="Q73" i="2"/>
  <c r="P73" i="2"/>
  <c r="O73" i="2"/>
  <c r="N73" i="2"/>
  <c r="M73" i="2"/>
  <c r="U72" i="2"/>
  <c r="T72" i="2"/>
  <c r="S72" i="2"/>
  <c r="R72" i="2"/>
  <c r="Q72" i="2"/>
  <c r="P72" i="2"/>
  <c r="O72" i="2"/>
  <c r="N72" i="2"/>
  <c r="M72" i="2"/>
  <c r="U71" i="2"/>
  <c r="T71" i="2"/>
  <c r="S71" i="2"/>
  <c r="R71" i="2"/>
  <c r="Q71" i="2"/>
  <c r="P71" i="2"/>
  <c r="O71" i="2"/>
  <c r="N71" i="2"/>
  <c r="M71" i="2"/>
  <c r="U70" i="2"/>
  <c r="T70" i="2"/>
  <c r="S70" i="2"/>
  <c r="R70" i="2"/>
  <c r="Q70" i="2"/>
  <c r="P70" i="2"/>
  <c r="O70" i="2"/>
  <c r="N70" i="2"/>
  <c r="M70" i="2"/>
  <c r="U69" i="2"/>
  <c r="T69" i="2"/>
  <c r="S69" i="2"/>
  <c r="R69" i="2"/>
  <c r="Q69" i="2"/>
  <c r="P69" i="2"/>
  <c r="O69" i="2"/>
  <c r="N69" i="2"/>
  <c r="M69" i="2"/>
  <c r="U68" i="2"/>
  <c r="T68" i="2"/>
  <c r="S68" i="2"/>
  <c r="R68" i="2"/>
  <c r="Q68" i="2"/>
  <c r="P68" i="2"/>
  <c r="O68" i="2"/>
  <c r="N68" i="2"/>
  <c r="M68" i="2"/>
  <c r="U67" i="2"/>
  <c r="T67" i="2"/>
  <c r="S67" i="2"/>
  <c r="R67" i="2"/>
  <c r="Q67" i="2"/>
  <c r="P67" i="2"/>
  <c r="O67" i="2"/>
  <c r="N67" i="2"/>
  <c r="M67" i="2"/>
  <c r="E76" i="2"/>
  <c r="C49" i="2"/>
  <c r="C67" i="2" s="1"/>
  <c r="D49" i="2"/>
  <c r="D67" i="2" s="1"/>
  <c r="E49" i="2"/>
  <c r="E67" i="2" s="1"/>
  <c r="F49" i="2"/>
  <c r="F67" i="2" s="1"/>
  <c r="G49" i="2"/>
  <c r="G67" i="2" s="1"/>
  <c r="H49" i="2"/>
  <c r="H67" i="2" s="1"/>
  <c r="I49" i="2"/>
  <c r="J49" i="2"/>
  <c r="C50" i="2"/>
  <c r="D50" i="2"/>
  <c r="E50" i="2"/>
  <c r="F50" i="2"/>
  <c r="G50" i="2"/>
  <c r="G68" i="2" s="1"/>
  <c r="H50" i="2"/>
  <c r="H68" i="2" s="1"/>
  <c r="I50" i="2"/>
  <c r="I68" i="2" s="1"/>
  <c r="J50" i="2"/>
  <c r="J68" i="2" s="1"/>
  <c r="C51" i="2"/>
  <c r="C69" i="2" s="1"/>
  <c r="D51" i="2"/>
  <c r="D69" i="2" s="1"/>
  <c r="E51" i="2"/>
  <c r="E69" i="2" s="1"/>
  <c r="F51" i="2"/>
  <c r="F69" i="2" s="1"/>
  <c r="G51" i="2"/>
  <c r="G69" i="2" s="1"/>
  <c r="H51" i="2"/>
  <c r="H69" i="2" s="1"/>
  <c r="I51" i="2"/>
  <c r="I69" i="2" s="1"/>
  <c r="J51" i="2"/>
  <c r="J69" i="2" s="1"/>
  <c r="C52" i="2"/>
  <c r="C70" i="2" s="1"/>
  <c r="D52" i="2"/>
  <c r="D70" i="2" s="1"/>
  <c r="E52" i="2"/>
  <c r="E70" i="2" s="1"/>
  <c r="F52" i="2"/>
  <c r="F70" i="2" s="1"/>
  <c r="G52" i="2"/>
  <c r="G70" i="2" s="1"/>
  <c r="H52" i="2"/>
  <c r="H70" i="2" s="1"/>
  <c r="I52" i="2"/>
  <c r="I70" i="2" s="1"/>
  <c r="J52" i="2"/>
  <c r="J70" i="2" s="1"/>
  <c r="C53" i="2"/>
  <c r="C71" i="2" s="1"/>
  <c r="D53" i="2"/>
  <c r="D71" i="2" s="1"/>
  <c r="E53" i="2"/>
  <c r="E71" i="2" s="1"/>
  <c r="F53" i="2"/>
  <c r="F71" i="2" s="1"/>
  <c r="G53" i="2"/>
  <c r="G71" i="2" s="1"/>
  <c r="H53" i="2"/>
  <c r="H71" i="2" s="1"/>
  <c r="I53" i="2"/>
  <c r="I71" i="2" s="1"/>
  <c r="J53" i="2"/>
  <c r="J71" i="2" s="1"/>
  <c r="C54" i="2"/>
  <c r="C72" i="2" s="1"/>
  <c r="D54" i="2"/>
  <c r="D72" i="2" s="1"/>
  <c r="E54" i="2"/>
  <c r="E72" i="2" s="1"/>
  <c r="F54" i="2"/>
  <c r="F72" i="2" s="1"/>
  <c r="G54" i="2"/>
  <c r="G72" i="2" s="1"/>
  <c r="H54" i="2"/>
  <c r="H72" i="2" s="1"/>
  <c r="I54" i="2"/>
  <c r="I72" i="2" s="1"/>
  <c r="J54" i="2"/>
  <c r="J72" i="2" s="1"/>
  <c r="C55" i="2"/>
  <c r="C73" i="2" s="1"/>
  <c r="D55" i="2"/>
  <c r="D73" i="2" s="1"/>
  <c r="E55" i="2"/>
  <c r="E73" i="2" s="1"/>
  <c r="F55" i="2"/>
  <c r="F73" i="2" s="1"/>
  <c r="G55" i="2"/>
  <c r="G73" i="2" s="1"/>
  <c r="H55" i="2"/>
  <c r="H73" i="2" s="1"/>
  <c r="I55" i="2"/>
  <c r="I73" i="2" s="1"/>
  <c r="J55" i="2"/>
  <c r="J73" i="2" s="1"/>
  <c r="C56" i="2"/>
  <c r="C74" i="2" s="1"/>
  <c r="D56" i="2"/>
  <c r="D74" i="2" s="1"/>
  <c r="E56" i="2"/>
  <c r="E74" i="2" s="1"/>
  <c r="F56" i="2"/>
  <c r="F74" i="2" s="1"/>
  <c r="G56" i="2"/>
  <c r="G74" i="2" s="1"/>
  <c r="H56" i="2"/>
  <c r="H74" i="2" s="1"/>
  <c r="I56" i="2"/>
  <c r="I74" i="2" s="1"/>
  <c r="J56" i="2"/>
  <c r="J74" i="2" s="1"/>
  <c r="C57" i="2"/>
  <c r="C75" i="2" s="1"/>
  <c r="D57" i="2"/>
  <c r="D75" i="2" s="1"/>
  <c r="E57" i="2"/>
  <c r="E75" i="2" s="1"/>
  <c r="F57" i="2"/>
  <c r="F75" i="2" s="1"/>
  <c r="G57" i="2"/>
  <c r="G75" i="2" s="1"/>
  <c r="H57" i="2"/>
  <c r="H75" i="2" s="1"/>
  <c r="I57" i="2"/>
  <c r="I75" i="2" s="1"/>
  <c r="J57" i="2"/>
  <c r="J75" i="2" s="1"/>
  <c r="C58" i="2"/>
  <c r="C76" i="2" s="1"/>
  <c r="D58" i="2"/>
  <c r="D76" i="2" s="1"/>
  <c r="E58" i="2"/>
  <c r="F58" i="2"/>
  <c r="F76" i="2" s="1"/>
  <c r="G58" i="2"/>
  <c r="G76" i="2" s="1"/>
  <c r="H58" i="2"/>
  <c r="H76" i="2" s="1"/>
  <c r="I58" i="2"/>
  <c r="I76" i="2" s="1"/>
  <c r="J58" i="2"/>
  <c r="J76" i="2" s="1"/>
  <c r="B58" i="2"/>
  <c r="B76" i="2" s="1"/>
  <c r="B50" i="2"/>
  <c r="B68" i="2" s="1"/>
  <c r="B51" i="2"/>
  <c r="B69" i="2" s="1"/>
  <c r="B52" i="2"/>
  <c r="B53" i="2"/>
  <c r="B71" i="2" s="1"/>
  <c r="B54" i="2"/>
  <c r="B72" i="2" s="1"/>
  <c r="B55" i="2"/>
  <c r="B73" i="2" s="1"/>
  <c r="B56" i="2"/>
  <c r="B74" i="2" s="1"/>
  <c r="B57" i="2"/>
  <c r="B75" i="2" s="1"/>
  <c r="B49" i="2"/>
  <c r="B67" i="2" s="1"/>
  <c r="C18" i="2"/>
  <c r="D18" i="2"/>
  <c r="E18" i="2"/>
  <c r="F18" i="2"/>
  <c r="G18" i="2"/>
  <c r="H18" i="2"/>
  <c r="I18" i="2"/>
  <c r="J18" i="2"/>
  <c r="K18" i="2"/>
  <c r="L18" i="2"/>
  <c r="M18" i="2"/>
  <c r="AA18" i="2" s="1"/>
  <c r="N18" i="2"/>
  <c r="AB18" i="2" s="1"/>
  <c r="O18" i="2"/>
  <c r="AC18" i="2" s="1"/>
  <c r="P18" i="2"/>
  <c r="AD18" i="2" s="1"/>
  <c r="Q18" i="2"/>
  <c r="AE18" i="2" s="1"/>
  <c r="R18" i="2"/>
  <c r="AF18" i="2" s="1"/>
  <c r="S18" i="2"/>
  <c r="AG18" i="2" s="1"/>
  <c r="T18" i="2"/>
  <c r="AH18" i="2" s="1"/>
  <c r="U18" i="2"/>
  <c r="AI18" i="2" s="1"/>
  <c r="B18" i="2"/>
  <c r="C17" i="2"/>
  <c r="D17" i="2"/>
  <c r="E17" i="2"/>
  <c r="F17" i="2"/>
  <c r="G17" i="2"/>
  <c r="H17" i="2"/>
  <c r="I17" i="2"/>
  <c r="J17" i="2"/>
  <c r="K17" i="2"/>
  <c r="L17" i="2"/>
  <c r="M17" i="2"/>
  <c r="AA17" i="2" s="1"/>
  <c r="AA28" i="2" s="1"/>
  <c r="AA30" i="2" s="1"/>
  <c r="N17" i="2"/>
  <c r="AB17" i="2" s="1"/>
  <c r="AB28" i="2" s="1"/>
  <c r="AB30" i="2" s="1"/>
  <c r="O17" i="2"/>
  <c r="AC17" i="2" s="1"/>
  <c r="AC28" i="2" s="1"/>
  <c r="P17" i="2"/>
  <c r="AD17" i="2" s="1"/>
  <c r="AD28" i="2" s="1"/>
  <c r="AD30" i="2" s="1"/>
  <c r="Q17" i="2"/>
  <c r="AE17" i="2" s="1"/>
  <c r="AE28" i="2" s="1"/>
  <c r="R17" i="2"/>
  <c r="AF17" i="2" s="1"/>
  <c r="AF28" i="2" s="1"/>
  <c r="AF30" i="2" s="1"/>
  <c r="S17" i="2"/>
  <c r="AG17" i="2" s="1"/>
  <c r="AG28" i="2" s="1"/>
  <c r="AG30" i="2" s="1"/>
  <c r="T17" i="2"/>
  <c r="AH17" i="2" s="1"/>
  <c r="AH28" i="2" s="1"/>
  <c r="AH30" i="2" s="1"/>
  <c r="U17" i="2"/>
  <c r="AI17" i="2" s="1"/>
  <c r="AI28" i="2" s="1"/>
  <c r="AI30" i="2" s="1"/>
  <c r="B17" i="2"/>
  <c r="C14" i="2"/>
  <c r="D14" i="2"/>
  <c r="E14" i="2"/>
  <c r="F14" i="2"/>
  <c r="G14" i="2"/>
  <c r="H14" i="2"/>
  <c r="I14" i="2"/>
  <c r="J14" i="2"/>
  <c r="K14" i="2"/>
  <c r="L14" i="2"/>
  <c r="M14" i="2"/>
  <c r="N14" i="2"/>
  <c r="O14" i="2"/>
  <c r="P14" i="2"/>
  <c r="Q14" i="2"/>
  <c r="R14" i="2"/>
  <c r="S14" i="2"/>
  <c r="T14" i="2"/>
  <c r="U14" i="2"/>
  <c r="B14" i="2"/>
  <c r="C13" i="2"/>
  <c r="D13" i="2"/>
  <c r="E13" i="2"/>
  <c r="F13" i="2"/>
  <c r="G13" i="2"/>
  <c r="H13" i="2"/>
  <c r="I13" i="2"/>
  <c r="J13" i="2"/>
  <c r="K13" i="2"/>
  <c r="L13" i="2"/>
  <c r="M13" i="2"/>
  <c r="N13" i="2"/>
  <c r="O13" i="2"/>
  <c r="P13" i="2"/>
  <c r="Q13" i="2"/>
  <c r="R13" i="2"/>
  <c r="S13" i="2"/>
  <c r="T13" i="2"/>
  <c r="U13" i="2"/>
  <c r="B13" i="2"/>
  <c r="W64" i="3"/>
  <c r="J64" i="3"/>
  <c r="B64" i="3"/>
  <c r="C64" i="3"/>
  <c r="D64" i="3"/>
  <c r="E64" i="3"/>
  <c r="F64" i="3"/>
  <c r="S64" i="3" s="1"/>
  <c r="G64" i="3"/>
  <c r="T64" i="3" s="1"/>
  <c r="H64" i="3"/>
  <c r="U64" i="3" s="1"/>
  <c r="I64" i="3"/>
  <c r="V64" i="3" s="1"/>
  <c r="O64" i="3"/>
  <c r="P64" i="3"/>
  <c r="Q64" i="3"/>
  <c r="R64" i="3"/>
  <c r="B65" i="3"/>
  <c r="O65" i="3" s="1"/>
  <c r="C65" i="3"/>
  <c r="P65" i="3" s="1"/>
  <c r="D65" i="3"/>
  <c r="Q65" i="3" s="1"/>
  <c r="E65" i="3"/>
  <c r="R65" i="3" s="1"/>
  <c r="F65" i="3"/>
  <c r="S65" i="3" s="1"/>
  <c r="G65" i="3"/>
  <c r="T65" i="3" s="1"/>
  <c r="H65" i="3"/>
  <c r="I65" i="3"/>
  <c r="J65" i="3"/>
  <c r="U65" i="3"/>
  <c r="V65" i="3"/>
  <c r="W65" i="3"/>
  <c r="B66" i="3"/>
  <c r="C66" i="3"/>
  <c r="D66" i="3"/>
  <c r="E66" i="3"/>
  <c r="F66" i="3"/>
  <c r="S66" i="3" s="1"/>
  <c r="G66" i="3"/>
  <c r="T66" i="3" s="1"/>
  <c r="H66" i="3"/>
  <c r="U66" i="3" s="1"/>
  <c r="I66" i="3"/>
  <c r="V66" i="3" s="1"/>
  <c r="J66" i="3"/>
  <c r="W66" i="3" s="1"/>
  <c r="O66" i="3"/>
  <c r="P66" i="3"/>
  <c r="Q66" i="3"/>
  <c r="R66" i="3"/>
  <c r="B67" i="3"/>
  <c r="O67" i="3" s="1"/>
  <c r="C67" i="3"/>
  <c r="P67" i="3" s="1"/>
  <c r="D67" i="3"/>
  <c r="Q67" i="3" s="1"/>
  <c r="E67" i="3"/>
  <c r="R67" i="3" s="1"/>
  <c r="F67" i="3"/>
  <c r="S67" i="3" s="1"/>
  <c r="G67" i="3"/>
  <c r="T67" i="3" s="1"/>
  <c r="H67" i="3"/>
  <c r="I67" i="3"/>
  <c r="J67" i="3"/>
  <c r="U67" i="3"/>
  <c r="V67" i="3"/>
  <c r="W67" i="3"/>
  <c r="B68" i="3"/>
  <c r="C68" i="3"/>
  <c r="D68" i="3"/>
  <c r="E68" i="3"/>
  <c r="F68" i="3"/>
  <c r="S68" i="3" s="1"/>
  <c r="G68" i="3"/>
  <c r="T68" i="3" s="1"/>
  <c r="H68" i="3"/>
  <c r="U68" i="3" s="1"/>
  <c r="I68" i="3"/>
  <c r="V68" i="3" s="1"/>
  <c r="J68" i="3"/>
  <c r="W68" i="3" s="1"/>
  <c r="O68" i="3"/>
  <c r="P68" i="3"/>
  <c r="Q68" i="3"/>
  <c r="R68" i="3"/>
  <c r="B69" i="3"/>
  <c r="O69" i="3" s="1"/>
  <c r="C69" i="3"/>
  <c r="P69" i="3" s="1"/>
  <c r="D69" i="3"/>
  <c r="Q69" i="3" s="1"/>
  <c r="E69" i="3"/>
  <c r="R69" i="3" s="1"/>
  <c r="F69" i="3"/>
  <c r="S69" i="3" s="1"/>
  <c r="G69" i="3"/>
  <c r="T69" i="3" s="1"/>
  <c r="H69" i="3"/>
  <c r="I69" i="3"/>
  <c r="J69" i="3"/>
  <c r="U69" i="3"/>
  <c r="V69" i="3"/>
  <c r="W69" i="3"/>
  <c r="B70" i="3"/>
  <c r="C70" i="3"/>
  <c r="D70" i="3"/>
  <c r="E70" i="3"/>
  <c r="F70" i="3"/>
  <c r="S70" i="3" s="1"/>
  <c r="G70" i="3"/>
  <c r="T70" i="3" s="1"/>
  <c r="H70" i="3"/>
  <c r="U70" i="3" s="1"/>
  <c r="I70" i="3"/>
  <c r="V70" i="3" s="1"/>
  <c r="J70" i="3"/>
  <c r="W70" i="3" s="1"/>
  <c r="O70" i="3"/>
  <c r="P70" i="3"/>
  <c r="Q70" i="3"/>
  <c r="R70" i="3"/>
  <c r="B71" i="3"/>
  <c r="C71" i="3"/>
  <c r="P71" i="3" s="1"/>
  <c r="D71" i="3"/>
  <c r="Q71" i="3" s="1"/>
  <c r="E71" i="3"/>
  <c r="R71" i="3" s="1"/>
  <c r="F71" i="3"/>
  <c r="S71" i="3" s="1"/>
  <c r="G71" i="3"/>
  <c r="T71" i="3" s="1"/>
  <c r="H71" i="3"/>
  <c r="I71" i="3"/>
  <c r="J71" i="3"/>
  <c r="O71" i="3"/>
  <c r="U71" i="3"/>
  <c r="V71" i="3"/>
  <c r="W71" i="3"/>
  <c r="B72" i="3"/>
  <c r="C72" i="3"/>
  <c r="D72" i="3"/>
  <c r="E72" i="3"/>
  <c r="F72" i="3"/>
  <c r="G72" i="3"/>
  <c r="T72" i="3" s="1"/>
  <c r="H72" i="3"/>
  <c r="I72" i="3"/>
  <c r="J72" i="3"/>
  <c r="W72" i="3" s="1"/>
  <c r="O72" i="3"/>
  <c r="P72" i="3"/>
  <c r="Q72" i="3"/>
  <c r="R72" i="3"/>
  <c r="S72" i="3"/>
  <c r="U72" i="3"/>
  <c r="V72" i="3"/>
  <c r="B73" i="3"/>
  <c r="C73" i="3"/>
  <c r="D73" i="3"/>
  <c r="Q73" i="3" s="1"/>
  <c r="E73" i="3"/>
  <c r="R73" i="3" s="1"/>
  <c r="F73" i="3"/>
  <c r="S73" i="3" s="1"/>
  <c r="G73" i="3"/>
  <c r="T73" i="3" s="1"/>
  <c r="H73" i="3"/>
  <c r="I73" i="3"/>
  <c r="J73" i="3"/>
  <c r="O73" i="3"/>
  <c r="P73" i="3"/>
  <c r="U73" i="3"/>
  <c r="V73" i="3"/>
  <c r="W73" i="3"/>
  <c r="G78" i="3"/>
  <c r="H78" i="3"/>
  <c r="G79" i="3"/>
  <c r="H79" i="3"/>
  <c r="G80" i="3"/>
  <c r="H80" i="3"/>
  <c r="G81" i="3"/>
  <c r="H81" i="3"/>
  <c r="I81" i="3"/>
  <c r="G82" i="3"/>
  <c r="H82" i="3"/>
  <c r="I82" i="3" s="1"/>
  <c r="O52" i="3"/>
  <c r="V52" i="3"/>
  <c r="W52" i="3"/>
  <c r="O53" i="3"/>
  <c r="P53" i="3"/>
  <c r="Q53" i="3"/>
  <c r="R53" i="3"/>
  <c r="P54" i="3"/>
  <c r="Q54" i="3"/>
  <c r="R54" i="3"/>
  <c r="S54" i="3"/>
  <c r="T54" i="3"/>
  <c r="U54" i="3"/>
  <c r="S55" i="3"/>
  <c r="T55" i="3"/>
  <c r="U55" i="3"/>
  <c r="V55" i="3"/>
  <c r="W55" i="3"/>
  <c r="O56" i="3"/>
  <c r="V56" i="3"/>
  <c r="W56" i="3"/>
  <c r="O57" i="3"/>
  <c r="P57" i="3"/>
  <c r="Q57" i="3"/>
  <c r="R57" i="3"/>
  <c r="P58" i="3"/>
  <c r="Q58" i="3"/>
  <c r="R58" i="3"/>
  <c r="T58" i="3"/>
  <c r="U58" i="3"/>
  <c r="S59" i="3"/>
  <c r="T59" i="3"/>
  <c r="U59" i="3"/>
  <c r="V59" i="3"/>
  <c r="W59" i="3"/>
  <c r="O60" i="3"/>
  <c r="V60" i="3"/>
  <c r="W60" i="3"/>
  <c r="P51" i="3"/>
  <c r="Q51" i="3"/>
  <c r="R51" i="3"/>
  <c r="S51" i="3"/>
  <c r="B52" i="3"/>
  <c r="C52" i="3"/>
  <c r="P52" i="3" s="1"/>
  <c r="D52" i="3"/>
  <c r="Q52" i="3" s="1"/>
  <c r="E52" i="3"/>
  <c r="R52" i="3" s="1"/>
  <c r="F52" i="3"/>
  <c r="S52" i="3" s="1"/>
  <c r="G52" i="3"/>
  <c r="T52" i="3" s="1"/>
  <c r="H52" i="3"/>
  <c r="U52" i="3" s="1"/>
  <c r="I52" i="3"/>
  <c r="J52" i="3"/>
  <c r="B53" i="3"/>
  <c r="C53" i="3"/>
  <c r="D53" i="3"/>
  <c r="E53" i="3"/>
  <c r="F53" i="3"/>
  <c r="S53" i="3" s="1"/>
  <c r="G53" i="3"/>
  <c r="T53" i="3" s="1"/>
  <c r="H53" i="3"/>
  <c r="U53" i="3" s="1"/>
  <c r="I53" i="3"/>
  <c r="V53" i="3" s="1"/>
  <c r="J53" i="3"/>
  <c r="W53" i="3" s="1"/>
  <c r="B54" i="3"/>
  <c r="O54" i="3" s="1"/>
  <c r="C54" i="3"/>
  <c r="D54" i="3"/>
  <c r="E54" i="3"/>
  <c r="F54" i="3"/>
  <c r="G54" i="3"/>
  <c r="H54" i="3"/>
  <c r="I54" i="3"/>
  <c r="V54" i="3" s="1"/>
  <c r="J54" i="3"/>
  <c r="W54" i="3" s="1"/>
  <c r="B55" i="3"/>
  <c r="O55" i="3" s="1"/>
  <c r="C55" i="3"/>
  <c r="P55" i="3" s="1"/>
  <c r="D55" i="3"/>
  <c r="Q55" i="3" s="1"/>
  <c r="E55" i="3"/>
  <c r="R55" i="3" s="1"/>
  <c r="F55" i="3"/>
  <c r="G55" i="3"/>
  <c r="H55" i="3"/>
  <c r="I55" i="3"/>
  <c r="J55" i="3"/>
  <c r="B56" i="3"/>
  <c r="C56" i="3"/>
  <c r="P56" i="3" s="1"/>
  <c r="D56" i="3"/>
  <c r="Q56" i="3" s="1"/>
  <c r="E56" i="3"/>
  <c r="R56" i="3" s="1"/>
  <c r="F56" i="3"/>
  <c r="S56" i="3" s="1"/>
  <c r="G56" i="3"/>
  <c r="T56" i="3" s="1"/>
  <c r="H56" i="3"/>
  <c r="U56" i="3" s="1"/>
  <c r="I56" i="3"/>
  <c r="J56" i="3"/>
  <c r="B57" i="3"/>
  <c r="C57" i="3"/>
  <c r="D57" i="3"/>
  <c r="E57" i="3"/>
  <c r="F57" i="3"/>
  <c r="S57" i="3" s="1"/>
  <c r="G57" i="3"/>
  <c r="T57" i="3" s="1"/>
  <c r="H57" i="3"/>
  <c r="U57" i="3" s="1"/>
  <c r="I57" i="3"/>
  <c r="V57" i="3" s="1"/>
  <c r="J57" i="3"/>
  <c r="W57" i="3" s="1"/>
  <c r="B58" i="3"/>
  <c r="O58" i="3" s="1"/>
  <c r="C58" i="3"/>
  <c r="D58" i="3"/>
  <c r="E58" i="3"/>
  <c r="F58" i="3"/>
  <c r="S58" i="3" s="1"/>
  <c r="G58" i="3"/>
  <c r="H58" i="3"/>
  <c r="I58" i="3"/>
  <c r="V58" i="3" s="1"/>
  <c r="J58" i="3"/>
  <c r="W58" i="3" s="1"/>
  <c r="B59" i="3"/>
  <c r="O59" i="3" s="1"/>
  <c r="C59" i="3"/>
  <c r="P59" i="3" s="1"/>
  <c r="D59" i="3"/>
  <c r="Q59" i="3" s="1"/>
  <c r="E59" i="3"/>
  <c r="R59" i="3" s="1"/>
  <c r="F59" i="3"/>
  <c r="G59" i="3"/>
  <c r="H59" i="3"/>
  <c r="I59" i="3"/>
  <c r="J59" i="3"/>
  <c r="B60" i="3"/>
  <c r="C60" i="3"/>
  <c r="P60" i="3" s="1"/>
  <c r="D60" i="3"/>
  <c r="Q60" i="3" s="1"/>
  <c r="E60" i="3"/>
  <c r="R60" i="3" s="1"/>
  <c r="F60" i="3"/>
  <c r="S60" i="3" s="1"/>
  <c r="G60" i="3"/>
  <c r="T60" i="3" s="1"/>
  <c r="H60" i="3"/>
  <c r="U60" i="3" s="1"/>
  <c r="I60" i="3"/>
  <c r="J60" i="3"/>
  <c r="C51" i="3"/>
  <c r="D51" i="3"/>
  <c r="E51" i="3"/>
  <c r="F51" i="3"/>
  <c r="G51" i="3"/>
  <c r="T51" i="3" s="1"/>
  <c r="H51" i="3"/>
  <c r="U51" i="3" s="1"/>
  <c r="I51" i="3"/>
  <c r="V51" i="3" s="1"/>
  <c r="J51" i="3"/>
  <c r="W51" i="3" s="1"/>
  <c r="B51" i="3"/>
  <c r="O51" i="3" s="1"/>
  <c r="I83" i="3"/>
  <c r="H83" i="3"/>
  <c r="H84" i="3"/>
  <c r="H85" i="3"/>
  <c r="H86" i="3"/>
  <c r="H87" i="3"/>
  <c r="G83" i="3"/>
  <c r="G84" i="3"/>
  <c r="I84" i="3" s="1"/>
  <c r="G85" i="3"/>
  <c r="I85" i="3" s="1"/>
  <c r="G86" i="3"/>
  <c r="I86" i="3" s="1"/>
  <c r="G87" i="3"/>
  <c r="I87" i="3" s="1"/>
  <c r="W4" i="3"/>
  <c r="C15" i="3"/>
  <c r="D15" i="3"/>
  <c r="E15" i="3"/>
  <c r="F15" i="3"/>
  <c r="G15" i="3"/>
  <c r="H15" i="3"/>
  <c r="I15" i="3"/>
  <c r="J15" i="3"/>
  <c r="K15" i="3"/>
  <c r="L15" i="3"/>
  <c r="M15" i="3"/>
  <c r="O15" i="3"/>
  <c r="P15" i="3"/>
  <c r="Q15" i="3"/>
  <c r="R15" i="3"/>
  <c r="S15" i="3"/>
  <c r="T15" i="3"/>
  <c r="U15" i="3"/>
  <c r="B15" i="3"/>
  <c r="C14" i="3"/>
  <c r="D14" i="3"/>
  <c r="E14" i="3"/>
  <c r="F14" i="3"/>
  <c r="G14" i="3"/>
  <c r="H14" i="3"/>
  <c r="I14" i="3"/>
  <c r="J14" i="3"/>
  <c r="K14" i="3"/>
  <c r="L14" i="3"/>
  <c r="M14" i="3"/>
  <c r="N14" i="3"/>
  <c r="O14" i="3"/>
  <c r="P14" i="3"/>
  <c r="Q14" i="3"/>
  <c r="R14" i="3"/>
  <c r="S14" i="3"/>
  <c r="T14" i="3"/>
  <c r="U14" i="3"/>
  <c r="B14" i="3"/>
  <c r="C13" i="3"/>
  <c r="D13" i="3"/>
  <c r="E13" i="3"/>
  <c r="F13" i="3"/>
  <c r="G13" i="3"/>
  <c r="H13" i="3"/>
  <c r="I13" i="3"/>
  <c r="J13" i="3"/>
  <c r="K13" i="3"/>
  <c r="L13" i="3"/>
  <c r="M13" i="3"/>
  <c r="N13" i="3"/>
  <c r="O13" i="3"/>
  <c r="P13" i="3"/>
  <c r="Q13" i="3"/>
  <c r="R13" i="3"/>
  <c r="S13" i="3"/>
  <c r="T13" i="3"/>
  <c r="U13" i="3"/>
  <c r="B13" i="3"/>
  <c r="C18" i="3"/>
  <c r="D18" i="3"/>
  <c r="E18" i="3"/>
  <c r="F18" i="3"/>
  <c r="G18" i="3"/>
  <c r="H18" i="3"/>
  <c r="I18" i="3"/>
  <c r="J18" i="3"/>
  <c r="K18" i="3"/>
  <c r="L18" i="3"/>
  <c r="M18" i="3"/>
  <c r="N18" i="3"/>
  <c r="O18" i="3"/>
  <c r="P18" i="3"/>
  <c r="Q18" i="3"/>
  <c r="R18" i="3"/>
  <c r="S18" i="3"/>
  <c r="T18" i="3"/>
  <c r="U18" i="3"/>
  <c r="B18" i="3"/>
  <c r="C17" i="3"/>
  <c r="D17" i="3"/>
  <c r="E17" i="3"/>
  <c r="F17" i="3"/>
  <c r="G17" i="3"/>
  <c r="H17" i="3"/>
  <c r="I17" i="3"/>
  <c r="J17" i="3"/>
  <c r="K17" i="3"/>
  <c r="L17" i="3"/>
  <c r="M17" i="3"/>
  <c r="N17" i="3"/>
  <c r="O17" i="3"/>
  <c r="P17" i="3"/>
  <c r="Q17" i="3"/>
  <c r="R17" i="3"/>
  <c r="S17" i="3"/>
  <c r="T17" i="3"/>
  <c r="U17" i="3"/>
  <c r="B17" i="3"/>
  <c r="AH24" i="2" l="1"/>
  <c r="AH26" i="2" s="1"/>
  <c r="AH20" i="2"/>
  <c r="AH22" i="2" s="1"/>
  <c r="AG24" i="2"/>
  <c r="AG26" i="2" s="1"/>
  <c r="AG20" i="2"/>
  <c r="AG22" i="2" s="1"/>
  <c r="AF24" i="2"/>
  <c r="AF20" i="2"/>
  <c r="AF22" i="2" s="1"/>
  <c r="AE24" i="2"/>
  <c r="AE26" i="2" s="1"/>
  <c r="AE20" i="2"/>
  <c r="AE22" i="2" s="1"/>
  <c r="AD24" i="2"/>
  <c r="AD26" i="2" s="1"/>
  <c r="AD20" i="2"/>
  <c r="AD22" i="2" s="1"/>
  <c r="AC24" i="2"/>
  <c r="AC26" i="2" s="1"/>
  <c r="AC20" i="2"/>
  <c r="AC22" i="2" s="1"/>
  <c r="AB24" i="2"/>
  <c r="AB26" i="2" s="1"/>
  <c r="AB20" i="2"/>
  <c r="AB22" i="2" s="1"/>
  <c r="AA20" i="2"/>
  <c r="AA22" i="2" s="1"/>
  <c r="AA24" i="2"/>
  <c r="AA26" i="2" s="1"/>
  <c r="AI24" i="2"/>
  <c r="AI26" i="2" s="1"/>
  <c r="AI20" i="2"/>
  <c r="AI22" i="2" s="1"/>
  <c r="AE30" i="2"/>
  <c r="AC30" i="2"/>
  <c r="K19" i="4"/>
  <c r="S15" i="2"/>
  <c r="G15" i="2"/>
  <c r="K19" i="2"/>
  <c r="K32" i="2" s="1"/>
  <c r="J19" i="4"/>
  <c r="D19" i="4"/>
  <c r="P19" i="2"/>
  <c r="P29" i="2" s="1"/>
  <c r="L19" i="4"/>
  <c r="I60" i="2"/>
  <c r="D19" i="2"/>
  <c r="D30" i="2" s="1"/>
  <c r="T19" i="2"/>
  <c r="T25" i="2" s="1"/>
  <c r="P15" i="2"/>
  <c r="H19" i="2"/>
  <c r="H25" i="2" s="1"/>
  <c r="D15" i="2"/>
  <c r="N15" i="2"/>
  <c r="F19" i="2"/>
  <c r="F25" i="2" s="1"/>
  <c r="M19" i="4"/>
  <c r="H19" i="4"/>
  <c r="F19" i="4"/>
  <c r="E19" i="4"/>
  <c r="G19" i="4"/>
  <c r="B60" i="2"/>
  <c r="F61" i="2"/>
  <c r="H60" i="2"/>
  <c r="M15" i="2"/>
  <c r="E61" i="2"/>
  <c r="D61" i="2"/>
  <c r="C61" i="2"/>
  <c r="J60" i="2"/>
  <c r="T15" i="2"/>
  <c r="H15" i="2"/>
  <c r="L19" i="2"/>
  <c r="L24" i="2" s="1"/>
  <c r="I19" i="4"/>
  <c r="H78" i="2"/>
  <c r="H79" i="2"/>
  <c r="G79" i="2"/>
  <c r="G78" i="2"/>
  <c r="B78" i="2"/>
  <c r="B61" i="2"/>
  <c r="G60" i="2"/>
  <c r="J61" i="2"/>
  <c r="F60" i="2"/>
  <c r="B70" i="2"/>
  <c r="B79" i="2" s="1"/>
  <c r="Q15" i="2"/>
  <c r="E15" i="2"/>
  <c r="U19" i="2"/>
  <c r="U26" i="2" s="1"/>
  <c r="I19" i="2"/>
  <c r="I29" i="2" s="1"/>
  <c r="I61" i="2"/>
  <c r="E60" i="2"/>
  <c r="K29" i="2"/>
  <c r="K26" i="2"/>
  <c r="H61" i="2"/>
  <c r="D60" i="2"/>
  <c r="J67" i="2"/>
  <c r="F68" i="2"/>
  <c r="F79" i="2" s="1"/>
  <c r="G61" i="2"/>
  <c r="C60" i="2"/>
  <c r="I67" i="2"/>
  <c r="E68" i="2"/>
  <c r="E79" i="2" s="1"/>
  <c r="D68" i="2"/>
  <c r="D79" i="2" s="1"/>
  <c r="C68" i="2"/>
  <c r="C78" i="2" s="1"/>
  <c r="L15" i="2"/>
  <c r="K15" i="2"/>
  <c r="O19" i="2"/>
  <c r="O30" i="2" s="1"/>
  <c r="C19" i="2"/>
  <c r="C27" i="2" s="1"/>
  <c r="B15" i="2"/>
  <c r="J15" i="2"/>
  <c r="R19" i="2"/>
  <c r="R29" i="2" s="1"/>
  <c r="U15" i="2"/>
  <c r="I15" i="2"/>
  <c r="Q19" i="2"/>
  <c r="Q29" i="2" s="1"/>
  <c r="E19" i="2"/>
  <c r="E29" i="2" s="1"/>
  <c r="M19" i="2"/>
  <c r="M30" i="2" s="1"/>
  <c r="L31" i="2"/>
  <c r="R15" i="2"/>
  <c r="F15" i="2"/>
  <c r="N19" i="2"/>
  <c r="N25" i="2" s="1"/>
  <c r="B19" i="2"/>
  <c r="B24" i="2" s="1"/>
  <c r="J19" i="2"/>
  <c r="J32" i="2" s="1"/>
  <c r="O15" i="2"/>
  <c r="C15" i="2"/>
  <c r="S19" i="2"/>
  <c r="G19" i="2"/>
  <c r="I79" i="3"/>
  <c r="I80" i="3"/>
  <c r="I78" i="3"/>
  <c r="S19" i="3"/>
  <c r="S32" i="3" s="1"/>
  <c r="Q19" i="3"/>
  <c r="Q30" i="3" s="1"/>
  <c r="P19" i="3"/>
  <c r="P25" i="3" s="1"/>
  <c r="T19" i="3"/>
  <c r="T23" i="3" s="1"/>
  <c r="H19" i="3"/>
  <c r="H25" i="3" s="1"/>
  <c r="G19" i="3"/>
  <c r="G23" i="3" s="1"/>
  <c r="R19" i="3"/>
  <c r="R30" i="3" s="1"/>
  <c r="F19" i="3"/>
  <c r="F25" i="3" s="1"/>
  <c r="D19" i="3"/>
  <c r="D30" i="3" s="1"/>
  <c r="O19" i="3"/>
  <c r="O32" i="3" s="1"/>
  <c r="C19" i="3"/>
  <c r="C27" i="3" s="1"/>
  <c r="E19" i="3"/>
  <c r="E25" i="3" s="1"/>
  <c r="B19" i="3"/>
  <c r="B25" i="3" s="1"/>
  <c r="J19" i="3"/>
  <c r="J25" i="3" s="1"/>
  <c r="U19" i="3"/>
  <c r="U25" i="3" s="1"/>
  <c r="I19" i="3"/>
  <c r="I30" i="3" s="1"/>
  <c r="H28" i="3"/>
  <c r="H23" i="3"/>
  <c r="H26" i="3"/>
  <c r="H30" i="3"/>
  <c r="S30" i="3"/>
  <c r="S25" i="3"/>
  <c r="Q27" i="3"/>
  <c r="M19" i="3"/>
  <c r="M31" i="3" s="1"/>
  <c r="P30" i="3"/>
  <c r="Q32" i="3"/>
  <c r="Q25" i="3"/>
  <c r="N19" i="3"/>
  <c r="N32" i="3" s="1"/>
  <c r="N27" i="3"/>
  <c r="L19" i="3"/>
  <c r="L31" i="3" s="1"/>
  <c r="S26" i="3"/>
  <c r="K19" i="3"/>
  <c r="K24" i="3" s="1"/>
  <c r="Q23" i="3"/>
  <c r="S31" i="3"/>
  <c r="P28" i="3"/>
  <c r="P23" i="3"/>
  <c r="T29" i="3"/>
  <c r="Q26" i="3"/>
  <c r="S24" i="3"/>
  <c r="S29" i="3"/>
  <c r="Q24" i="3"/>
  <c r="T32" i="3"/>
  <c r="S27" i="3"/>
  <c r="P24" i="3"/>
  <c r="F29" i="2" l="1"/>
  <c r="H80" i="2"/>
  <c r="F28" i="2"/>
  <c r="T29" i="2"/>
  <c r="L25" i="2"/>
  <c r="F31" i="2"/>
  <c r="K27" i="2"/>
  <c r="F30" i="2"/>
  <c r="L30" i="2"/>
  <c r="L23" i="2"/>
  <c r="P28" i="2"/>
  <c r="F27" i="2"/>
  <c r="K25" i="2"/>
  <c r="P23" i="2"/>
  <c r="P32" i="2"/>
  <c r="L32" i="2"/>
  <c r="P31" i="2"/>
  <c r="K24" i="2"/>
  <c r="C28" i="2"/>
  <c r="C25" i="2"/>
  <c r="K30" i="2"/>
  <c r="D23" i="2"/>
  <c r="T30" i="2"/>
  <c r="K28" i="2"/>
  <c r="F32" i="2"/>
  <c r="D32" i="2"/>
  <c r="D31" i="2"/>
  <c r="O28" i="2"/>
  <c r="O27" i="2"/>
  <c r="E62" i="2"/>
  <c r="T26" i="2"/>
  <c r="F62" i="2"/>
  <c r="U28" i="2"/>
  <c r="O31" i="2"/>
  <c r="P24" i="2"/>
  <c r="M29" i="2"/>
  <c r="C62" i="2"/>
  <c r="I62" i="2"/>
  <c r="C31" i="2"/>
  <c r="D24" i="2"/>
  <c r="T32" i="2"/>
  <c r="D26" i="2"/>
  <c r="D28" i="2"/>
  <c r="P25" i="2"/>
  <c r="P30" i="2"/>
  <c r="F23" i="2"/>
  <c r="P26" i="2"/>
  <c r="U24" i="2"/>
  <c r="L27" i="2"/>
  <c r="H62" i="2"/>
  <c r="T31" i="2"/>
  <c r="K23" i="2"/>
  <c r="K31" i="2"/>
  <c r="T27" i="2"/>
  <c r="E32" i="2"/>
  <c r="C24" i="2"/>
  <c r="H24" i="2"/>
  <c r="T24" i="2"/>
  <c r="H31" i="2"/>
  <c r="M24" i="2"/>
  <c r="L26" i="2"/>
  <c r="N28" i="2"/>
  <c r="O24" i="2"/>
  <c r="D27" i="2"/>
  <c r="H27" i="2"/>
  <c r="P27" i="2"/>
  <c r="H30" i="2"/>
  <c r="O25" i="2"/>
  <c r="T23" i="2"/>
  <c r="H23" i="2"/>
  <c r="H26" i="2"/>
  <c r="L28" i="2"/>
  <c r="G62" i="2"/>
  <c r="T28" i="2"/>
  <c r="D29" i="2"/>
  <c r="D25" i="2"/>
  <c r="N27" i="2"/>
  <c r="L29" i="2"/>
  <c r="F26" i="2"/>
  <c r="F24" i="2"/>
  <c r="D62" i="2"/>
  <c r="H28" i="2"/>
  <c r="M26" i="2"/>
  <c r="H29" i="2"/>
  <c r="H32" i="2"/>
  <c r="I28" i="2"/>
  <c r="B27" i="2"/>
  <c r="M28" i="2"/>
  <c r="J30" i="2"/>
  <c r="M27" i="2"/>
  <c r="B62" i="2"/>
  <c r="I24" i="2"/>
  <c r="B31" i="2"/>
  <c r="U29" i="2"/>
  <c r="J29" i="2"/>
  <c r="B26" i="2"/>
  <c r="U30" i="2"/>
  <c r="M31" i="2"/>
  <c r="N31" i="2"/>
  <c r="B30" i="2"/>
  <c r="I23" i="2"/>
  <c r="J62" i="2"/>
  <c r="U23" i="2"/>
  <c r="I32" i="2"/>
  <c r="Q32" i="2"/>
  <c r="U32" i="2"/>
  <c r="I25" i="2"/>
  <c r="N30" i="2"/>
  <c r="N23" i="2"/>
  <c r="U25" i="2"/>
  <c r="B80" i="2"/>
  <c r="G80" i="2"/>
  <c r="G27" i="2"/>
  <c r="G23" i="2"/>
  <c r="G25" i="2"/>
  <c r="G28" i="2"/>
  <c r="G31" i="2"/>
  <c r="G24" i="2"/>
  <c r="G30" i="2"/>
  <c r="R25" i="2"/>
  <c r="R28" i="2"/>
  <c r="R31" i="2"/>
  <c r="R23" i="2"/>
  <c r="R24" i="2"/>
  <c r="R27" i="2"/>
  <c r="R30" i="2"/>
  <c r="R26" i="2"/>
  <c r="G26" i="2"/>
  <c r="S23" i="2"/>
  <c r="S24" i="2"/>
  <c r="S27" i="2"/>
  <c r="S25" i="2"/>
  <c r="S28" i="2"/>
  <c r="S31" i="2"/>
  <c r="S30" i="2"/>
  <c r="G32" i="2"/>
  <c r="I31" i="2"/>
  <c r="U27" i="2"/>
  <c r="U31" i="2"/>
  <c r="B23" i="2"/>
  <c r="D78" i="2"/>
  <c r="D80" i="2" s="1"/>
  <c r="E26" i="2"/>
  <c r="I27" i="2"/>
  <c r="I78" i="2"/>
  <c r="I79" i="2"/>
  <c r="C26" i="2"/>
  <c r="C32" i="2"/>
  <c r="C29" i="2"/>
  <c r="G29" i="2"/>
  <c r="I26" i="2"/>
  <c r="C23" i="2"/>
  <c r="F78" i="2"/>
  <c r="F80" i="2" s="1"/>
  <c r="Q26" i="2"/>
  <c r="J31" i="2"/>
  <c r="J28" i="2"/>
  <c r="N26" i="2"/>
  <c r="N29" i="2"/>
  <c r="N32" i="2"/>
  <c r="J23" i="2"/>
  <c r="R32" i="2"/>
  <c r="J24" i="2"/>
  <c r="M23" i="2"/>
  <c r="M32" i="2"/>
  <c r="B25" i="2"/>
  <c r="O29" i="2"/>
  <c r="O26" i="2"/>
  <c r="O32" i="2"/>
  <c r="S29" i="2"/>
  <c r="O23" i="2"/>
  <c r="E78" i="2"/>
  <c r="E80" i="2" s="1"/>
  <c r="S26" i="2"/>
  <c r="E25" i="2"/>
  <c r="E28" i="2"/>
  <c r="E31" i="2"/>
  <c r="E23" i="2"/>
  <c r="E24" i="2"/>
  <c r="E27" i="2"/>
  <c r="E30" i="2"/>
  <c r="J27" i="2"/>
  <c r="N24" i="2"/>
  <c r="C30" i="2"/>
  <c r="C79" i="2"/>
  <c r="C80" i="2" s="1"/>
  <c r="S32" i="2"/>
  <c r="B32" i="2"/>
  <c r="B29" i="2"/>
  <c r="Q25" i="2"/>
  <c r="Q28" i="2"/>
  <c r="Q31" i="2"/>
  <c r="Q23" i="2"/>
  <c r="Q24" i="2"/>
  <c r="Q27" i="2"/>
  <c r="Q30" i="2"/>
  <c r="I30" i="2"/>
  <c r="B28" i="2"/>
  <c r="J26" i="2"/>
  <c r="J78" i="2"/>
  <c r="J79" i="2"/>
  <c r="J25" i="2"/>
  <c r="M25" i="2"/>
  <c r="S28" i="3"/>
  <c r="J30" i="3"/>
  <c r="P31" i="3"/>
  <c r="P27" i="3"/>
  <c r="Q31" i="3"/>
  <c r="Q28" i="3"/>
  <c r="S23" i="3"/>
  <c r="S34" i="3" s="1"/>
  <c r="T27" i="3"/>
  <c r="P26" i="3"/>
  <c r="P36" i="3" s="1"/>
  <c r="P32" i="3"/>
  <c r="P34" i="3" s="1"/>
  <c r="N28" i="3"/>
  <c r="U26" i="3"/>
  <c r="T31" i="3"/>
  <c r="P29" i="3"/>
  <c r="H31" i="3"/>
  <c r="H32" i="3"/>
  <c r="H29" i="3"/>
  <c r="Q29" i="3"/>
  <c r="Q36" i="3" s="1"/>
  <c r="H27" i="3"/>
  <c r="G32" i="3"/>
  <c r="T24" i="3"/>
  <c r="T25" i="3"/>
  <c r="U30" i="3"/>
  <c r="F26" i="3"/>
  <c r="G25" i="3"/>
  <c r="U27" i="3"/>
  <c r="R26" i="3"/>
  <c r="G29" i="3"/>
  <c r="G30" i="3"/>
  <c r="N26" i="3"/>
  <c r="T30" i="3"/>
  <c r="O31" i="3"/>
  <c r="J24" i="3"/>
  <c r="G28" i="3"/>
  <c r="C31" i="3"/>
  <c r="O27" i="3"/>
  <c r="G26" i="3"/>
  <c r="H24" i="3"/>
  <c r="J29" i="3"/>
  <c r="T26" i="3"/>
  <c r="K29" i="3"/>
  <c r="G24" i="3"/>
  <c r="D28" i="3"/>
  <c r="U29" i="3"/>
  <c r="F27" i="3"/>
  <c r="U28" i="3"/>
  <c r="U32" i="3"/>
  <c r="F24" i="3"/>
  <c r="G31" i="3"/>
  <c r="T28" i="3"/>
  <c r="G27" i="3"/>
  <c r="R24" i="3"/>
  <c r="J27" i="3"/>
  <c r="O30" i="3"/>
  <c r="O28" i="3"/>
  <c r="I31" i="3"/>
  <c r="R23" i="3"/>
  <c r="I26" i="3"/>
  <c r="J26" i="3"/>
  <c r="C28" i="3"/>
  <c r="J28" i="3"/>
  <c r="F29" i="3"/>
  <c r="F31" i="3"/>
  <c r="I28" i="3"/>
  <c r="J31" i="3"/>
  <c r="R29" i="3"/>
  <c r="R31" i="3"/>
  <c r="U31" i="3"/>
  <c r="J23" i="3"/>
  <c r="O24" i="3"/>
  <c r="C30" i="3"/>
  <c r="I25" i="3"/>
  <c r="J32" i="3"/>
  <c r="D31" i="3"/>
  <c r="U23" i="3"/>
  <c r="R27" i="3"/>
  <c r="R28" i="3"/>
  <c r="F23" i="3"/>
  <c r="F32" i="3"/>
  <c r="D26" i="3"/>
  <c r="O25" i="3"/>
  <c r="D32" i="3"/>
  <c r="F30" i="3"/>
  <c r="R32" i="3"/>
  <c r="O23" i="3"/>
  <c r="C25" i="3"/>
  <c r="D23" i="3"/>
  <c r="D27" i="3"/>
  <c r="F28" i="3"/>
  <c r="R25" i="3"/>
  <c r="D24" i="3"/>
  <c r="C26" i="3"/>
  <c r="O26" i="3"/>
  <c r="I27" i="3"/>
  <c r="I24" i="3"/>
  <c r="D25" i="3"/>
  <c r="I23" i="3"/>
  <c r="D29" i="3"/>
  <c r="K30" i="3"/>
  <c r="K27" i="3"/>
  <c r="U24" i="3"/>
  <c r="I32" i="3"/>
  <c r="C32" i="3"/>
  <c r="C29" i="3"/>
  <c r="C23" i="3"/>
  <c r="I29" i="3"/>
  <c r="O29" i="3"/>
  <c r="C24" i="3"/>
  <c r="E29" i="3"/>
  <c r="E28" i="3"/>
  <c r="N29" i="3"/>
  <c r="B29" i="3"/>
  <c r="E23" i="3"/>
  <c r="E27" i="3"/>
  <c r="B26" i="3"/>
  <c r="E24" i="3"/>
  <c r="E26" i="3"/>
  <c r="B23" i="3"/>
  <c r="B27" i="3"/>
  <c r="B28" i="3"/>
  <c r="B31" i="3"/>
  <c r="B32" i="3"/>
  <c r="E32" i="3"/>
  <c r="E30" i="3"/>
  <c r="B24" i="3"/>
  <c r="E31" i="3"/>
  <c r="B30" i="3"/>
  <c r="N23" i="3"/>
  <c r="N31" i="3"/>
  <c r="L32" i="3"/>
  <c r="M30" i="3"/>
  <c r="L27" i="3"/>
  <c r="L26" i="3"/>
  <c r="L28" i="3"/>
  <c r="L23" i="3"/>
  <c r="M29" i="3"/>
  <c r="M25" i="3"/>
  <c r="K31" i="3"/>
  <c r="K26" i="3"/>
  <c r="K23" i="3"/>
  <c r="M32" i="3"/>
  <c r="M26" i="3"/>
  <c r="K32" i="3"/>
  <c r="M28" i="3"/>
  <c r="K25" i="3"/>
  <c r="L29" i="3"/>
  <c r="N30" i="3"/>
  <c r="N25" i="3"/>
  <c r="L30" i="3"/>
  <c r="N24" i="3"/>
  <c r="M27" i="3"/>
  <c r="M23" i="3"/>
  <c r="M24" i="3"/>
  <c r="K28" i="3"/>
  <c r="L24" i="3"/>
  <c r="L25" i="3"/>
  <c r="F34" i="2" l="1"/>
  <c r="F35" i="2"/>
  <c r="F36" i="2" s="1"/>
  <c r="D34" i="2"/>
  <c r="I80" i="2"/>
  <c r="L35" i="2"/>
  <c r="K35" i="2"/>
  <c r="P34" i="2"/>
  <c r="L34" i="2"/>
  <c r="K34" i="2"/>
  <c r="K36" i="2" s="1"/>
  <c r="T35" i="2"/>
  <c r="H34" i="2"/>
  <c r="D35" i="2"/>
  <c r="D36" i="2" s="1"/>
  <c r="U35" i="2"/>
  <c r="N35" i="2"/>
  <c r="H35" i="2"/>
  <c r="P35" i="2"/>
  <c r="T34" i="2"/>
  <c r="U34" i="2"/>
  <c r="I34" i="2"/>
  <c r="J80" i="2"/>
  <c r="I35" i="2"/>
  <c r="J34" i="2"/>
  <c r="J35" i="2"/>
  <c r="J36" i="2" s="1"/>
  <c r="S34" i="2"/>
  <c r="S35" i="2"/>
  <c r="R34" i="2"/>
  <c r="R35" i="2"/>
  <c r="M35" i="2"/>
  <c r="M34" i="2"/>
  <c r="N34" i="2"/>
  <c r="E34" i="2"/>
  <c r="E35" i="2"/>
  <c r="E36" i="2" s="1"/>
  <c r="C35" i="2"/>
  <c r="C34" i="2"/>
  <c r="G34" i="2"/>
  <c r="G35" i="2"/>
  <c r="B34" i="2"/>
  <c r="B35" i="2"/>
  <c r="O35" i="2"/>
  <c r="O34" i="2"/>
  <c r="Q34" i="2"/>
  <c r="Q35" i="2"/>
  <c r="P35" i="3"/>
  <c r="S35" i="3"/>
  <c r="S36" i="3"/>
  <c r="T36" i="3"/>
  <c r="H34" i="3"/>
  <c r="Q34" i="3"/>
  <c r="Q35" i="3"/>
  <c r="R34" i="3"/>
  <c r="G34" i="3"/>
  <c r="O34" i="3"/>
  <c r="H35" i="3"/>
  <c r="C36" i="3"/>
  <c r="H36" i="3"/>
  <c r="T35" i="3"/>
  <c r="T34" i="3"/>
  <c r="D35" i="3"/>
  <c r="G35" i="3"/>
  <c r="G36" i="3"/>
  <c r="U35" i="3"/>
  <c r="F35" i="3"/>
  <c r="J36" i="3"/>
  <c r="J35" i="3"/>
  <c r="D34" i="3"/>
  <c r="D36" i="3"/>
  <c r="J34" i="3"/>
  <c r="F34" i="3"/>
  <c r="R35" i="3"/>
  <c r="R36" i="3"/>
  <c r="F36" i="3"/>
  <c r="O36" i="3"/>
  <c r="U36" i="3"/>
  <c r="C34" i="3"/>
  <c r="U34" i="3"/>
  <c r="I35" i="3"/>
  <c r="C35" i="3"/>
  <c r="I36" i="3"/>
  <c r="O35" i="3"/>
  <c r="I34" i="3"/>
  <c r="N35" i="3"/>
  <c r="N34" i="3"/>
  <c r="N36" i="3"/>
  <c r="B35" i="3"/>
  <c r="B36" i="3"/>
  <c r="B34" i="3"/>
  <c r="K34" i="3"/>
  <c r="K35" i="3"/>
  <c r="K36" i="3"/>
  <c r="E36" i="3"/>
  <c r="E35" i="3"/>
  <c r="E34" i="3"/>
  <c r="L35" i="3"/>
  <c r="L34" i="3"/>
  <c r="L36" i="3"/>
  <c r="M35" i="3"/>
  <c r="M34" i="3"/>
  <c r="M36" i="3"/>
  <c r="L36" i="2" l="1"/>
  <c r="S36" i="2"/>
  <c r="T36" i="2"/>
  <c r="P36" i="2"/>
  <c r="R36" i="2"/>
  <c r="H36" i="2"/>
  <c r="U36" i="2"/>
  <c r="N36" i="2"/>
  <c r="M36" i="2"/>
  <c r="I36" i="2"/>
  <c r="G36" i="2"/>
  <c r="B36" i="2"/>
  <c r="O36" i="2"/>
  <c r="C36" i="2"/>
  <c r="Q36" i="2"/>
</calcChain>
</file>

<file path=xl/sharedStrings.xml><?xml version="1.0" encoding="utf-8"?>
<sst xmlns="http://schemas.openxmlformats.org/spreadsheetml/2006/main" count="586" uniqueCount="138">
  <si>
    <t>seed_a_e</t>
  </si>
  <si>
    <t>seed_b_e</t>
  </si>
  <si>
    <t>seed_d_e</t>
  </si>
  <si>
    <t>seed_c_I_sst</t>
  </si>
  <si>
    <t>seed_c_I_vip</t>
  </si>
  <si>
    <t>seed_c_I_pv</t>
  </si>
  <si>
    <t>seed_r_0_sst</t>
  </si>
  <si>
    <t>seed_r_0_vip</t>
  </si>
  <si>
    <t>seed_r_0_pv</t>
  </si>
  <si>
    <t>I_background_e</t>
  </si>
  <si>
    <t>I_background_i</t>
  </si>
  <si>
    <t>I_background_dend</t>
  </si>
  <si>
    <t>mu_ee</t>
  </si>
  <si>
    <t>mu_ie</t>
  </si>
  <si>
    <t>e_grad_min</t>
  </si>
  <si>
    <t>balloon_kappa</t>
  </si>
  <si>
    <t>balloon_gamma</t>
  </si>
  <si>
    <t>balloon_tau</t>
  </si>
  <si>
    <t>final_evaluation_seed</t>
  </si>
  <si>
    <t>best_difference_vector_r</t>
  </si>
  <si>
    <t>best_pearson_r</t>
  </si>
  <si>
    <t>12345</t>
  </si>
  <si>
    <t>24690</t>
  </si>
  <si>
    <t>37035</t>
  </si>
  <si>
    <t>49380</t>
  </si>
  <si>
    <t>61725</t>
  </si>
  <si>
    <t>74070</t>
  </si>
  <si>
    <t>86415</t>
  </si>
  <si>
    <t>98760</t>
  </si>
  <si>
    <t>111105</t>
  </si>
  <si>
    <t>123450</t>
  </si>
  <si>
    <t>Column1</t>
  </si>
  <si>
    <t>min</t>
  </si>
  <si>
    <t>max</t>
  </si>
  <si>
    <t>difference</t>
  </si>
  <si>
    <t>NORMALISED</t>
  </si>
  <si>
    <t>mean</t>
  </si>
  <si>
    <t>std</t>
  </si>
  <si>
    <t>variance</t>
  </si>
  <si>
    <t>pearson r of model/target and serotonin difference</t>
  </si>
  <si>
    <t>Baseline f/I parameters</t>
  </si>
  <si>
    <t>a_e</t>
  </si>
  <si>
    <t>b_e</t>
  </si>
  <si>
    <t>d_e</t>
  </si>
  <si>
    <t>c_I_sst</t>
  </si>
  <si>
    <t>c_I_vip</t>
  </si>
  <si>
    <t>_c_I_pv</t>
  </si>
  <si>
    <t>r_0_sst</t>
  </si>
  <si>
    <t>r_0_vip</t>
  </si>
  <si>
    <t>r_0_pv</t>
  </si>
  <si>
    <t>Parameter</t>
  </si>
  <si>
    <t>Value</t>
  </si>
  <si>
    <t>sum of R^2</t>
  </si>
  <si>
    <t>Model R</t>
  </si>
  <si>
    <t>Model R^2</t>
  </si>
  <si>
    <t>Log2 Fold Change [Highlighted]</t>
  </si>
  <si>
    <t>Fold Change [Highlighted]</t>
  </si>
  <si>
    <t>Fold Change in f/I parameters</t>
  </si>
  <si>
    <t xml:space="preserve"> </t>
  </si>
  <si>
    <t>best_difference_vector_cosine</t>
  </si>
  <si>
    <t>Coefficient of Variance</t>
  </si>
  <si>
    <t>Normalised</t>
  </si>
  <si>
    <t>Fold Change in f/I Parameters</t>
  </si>
  <si>
    <t>Log2 Fold Change in f/I Parameters</t>
  </si>
  <si>
    <t>Fold Change in f/I Parameters [Highlighted]</t>
  </si>
  <si>
    <t>Log2 Fold Change in f/I Parameters [Highlighted]</t>
  </si>
  <si>
    <t>Heuristics</t>
  </si>
  <si>
    <t>Stim</t>
  </si>
  <si>
    <t>Auto</t>
  </si>
  <si>
    <t>BOLD</t>
  </si>
  <si>
    <t>Pass</t>
  </si>
  <si>
    <t>Fail</t>
  </si>
  <si>
    <t>area_name</t>
  </si>
  <si>
    <t>model_seed_fc_z</t>
  </si>
  <si>
    <t>target_seed_fc_z</t>
  </si>
  <si>
    <t>V1</t>
  </si>
  <si>
    <t>V2</t>
  </si>
  <si>
    <t>V4</t>
  </si>
  <si>
    <t>MT</t>
  </si>
  <si>
    <t>V6</t>
  </si>
  <si>
    <t>DP</t>
  </si>
  <si>
    <t>TEO</t>
  </si>
  <si>
    <t>8m</t>
  </si>
  <si>
    <t>F4</t>
  </si>
  <si>
    <t>8l</t>
  </si>
  <si>
    <t>F1</t>
  </si>
  <si>
    <t>STPc</t>
  </si>
  <si>
    <t>7A</t>
  </si>
  <si>
    <t>F3</t>
  </si>
  <si>
    <t>TEpd</t>
  </si>
  <si>
    <t>46d</t>
  </si>
  <si>
    <t>9/46v</t>
  </si>
  <si>
    <t>PBr</t>
  </si>
  <si>
    <t>9/46d</t>
  </si>
  <si>
    <t>F5</t>
  </si>
  <si>
    <t>7m</t>
  </si>
  <si>
    <t>LIP</t>
  </si>
  <si>
    <t>STPi</t>
  </si>
  <si>
    <t>45A</t>
  </si>
  <si>
    <t>8B</t>
  </si>
  <si>
    <t>7B</t>
  </si>
  <si>
    <t>F2</t>
  </si>
  <si>
    <t>F7</t>
  </si>
  <si>
    <t>ProM</t>
  </si>
  <si>
    <t>STPr</t>
  </si>
  <si>
    <t>24c</t>
  </si>
  <si>
    <t>OPRO</t>
  </si>
  <si>
    <t>seed</t>
  </si>
  <si>
    <t>1A</t>
  </si>
  <si>
    <t>2A</t>
  </si>
  <si>
    <t>3A</t>
  </si>
  <si>
    <t>Inhibitory</t>
  </si>
  <si>
    <t>Excititory</t>
  </si>
  <si>
    <t>c_I</t>
  </si>
  <si>
    <t>SST</t>
  </si>
  <si>
    <t>VIP</t>
  </si>
  <si>
    <t>PV</t>
  </si>
  <si>
    <t>E</t>
  </si>
  <si>
    <t>r_0</t>
  </si>
  <si>
    <t>Greater Slope</t>
  </si>
  <si>
    <t>Less Slope</t>
  </si>
  <si>
    <t>Stronger Threshold</t>
  </si>
  <si>
    <t>Weaker Threshold</t>
  </si>
  <si>
    <t>stimulus</t>
  </si>
  <si>
    <t>Results Against Heuristics</t>
  </si>
  <si>
    <t>r</t>
  </si>
  <si>
    <t>cosine</t>
  </si>
  <si>
    <t>baseline</t>
  </si>
  <si>
    <t xml:space="preserve">lower </t>
  </si>
  <si>
    <t>upper</t>
  </si>
  <si>
    <t>optimised range</t>
  </si>
  <si>
    <t>boundary range</t>
  </si>
  <si>
    <t>exploration %</t>
  </si>
  <si>
    <t>whole</t>
  </si>
  <si>
    <t>above</t>
  </si>
  <si>
    <t>N/A</t>
  </si>
  <si>
    <t>below</t>
  </si>
  <si>
    <t>correlations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</si>
</sst>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4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1"/>
        <bgColor indexed="64"/>
      </patternFill>
    </fill>
  </fills>
  <borders count="52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theme="4" tint="0.39997558519241921"/>
      </bottom>
      <diagonal/>
    </border>
    <border>
      <left/>
      <right style="thin">
        <color theme="4" tint="0.39997558519241921"/>
      </right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4" tint="0.39997558519241921"/>
      </left>
      <right style="thin">
        <color theme="4" tint="0.39997558519241921"/>
      </right>
      <top/>
      <bottom style="thin">
        <color theme="4" tint="0.39997558519241921"/>
      </bottom>
      <diagonal/>
    </border>
    <border>
      <left/>
      <right style="thin">
        <color theme="4" tint="0.39997558519241921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 style="medium">
        <color indexed="64"/>
      </left>
      <right style="medium">
        <color indexed="64"/>
      </right>
      <top style="thin">
        <color theme="4" tint="0.39997558519241921"/>
      </top>
      <bottom style="thin">
        <color theme="4" tint="0.39997558519241921"/>
      </bottom>
      <diagonal/>
    </border>
    <border>
      <left style="medium">
        <color indexed="64"/>
      </left>
      <right/>
      <top style="thin">
        <color theme="4" tint="0.39997558519241921"/>
      </top>
      <bottom style="thin">
        <color theme="4" tint="0.39997558519241921"/>
      </bottom>
      <diagonal/>
    </border>
    <border>
      <left style="medium">
        <color indexed="64"/>
      </left>
      <right style="medium">
        <color indexed="64"/>
      </right>
      <top style="thin">
        <color theme="4" tint="0.39997558519241921"/>
      </top>
      <bottom style="medium">
        <color indexed="64"/>
      </bottom>
      <diagonal/>
    </border>
    <border>
      <left style="medium">
        <color indexed="64"/>
      </left>
      <right/>
      <top style="thin">
        <color theme="4" tint="0.39997558519241921"/>
      </top>
      <bottom style="medium">
        <color indexed="64"/>
      </bottom>
      <diagonal/>
    </border>
    <border>
      <left/>
      <right/>
      <top style="thin">
        <color theme="4" tint="0.39997558519241921"/>
      </top>
      <bottom style="medium">
        <color indexed="64"/>
      </bottom>
      <diagonal/>
    </border>
    <border>
      <left/>
      <right style="medium">
        <color indexed="64"/>
      </right>
      <top style="thin">
        <color theme="4" tint="0.39997558519241921"/>
      </top>
      <bottom style="thin">
        <color theme="4" tint="0.39997558519241921"/>
      </bottom>
      <diagonal/>
    </border>
    <border>
      <left/>
      <right style="medium">
        <color indexed="64"/>
      </right>
      <top style="thin">
        <color theme="4" tint="0.3999755851924192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theme="4" tint="0.39997558519241921"/>
      </bottom>
      <diagonal/>
    </border>
    <border>
      <left style="medium">
        <color indexed="64"/>
      </left>
      <right/>
      <top style="medium">
        <color indexed="64"/>
      </top>
      <bottom style="thin">
        <color theme="4" tint="0.39997558519241921"/>
      </bottom>
      <diagonal/>
    </border>
    <border>
      <left/>
      <right/>
      <top style="medium">
        <color indexed="64"/>
      </top>
      <bottom style="thin">
        <color theme="4" tint="0.39997558519241921"/>
      </bottom>
      <diagonal/>
    </border>
    <border>
      <left/>
      <right style="medium">
        <color indexed="64"/>
      </right>
      <top style="medium">
        <color indexed="64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/>
      <bottom style="thin">
        <color theme="4" tint="0.39997558519241921"/>
      </bottom>
      <diagonal/>
    </border>
  </borders>
  <cellStyleXfs count="1">
    <xf numFmtId="0" fontId="0" fillId="0" borderId="0"/>
  </cellStyleXfs>
  <cellXfs count="120">
    <xf numFmtId="0" fontId="0" fillId="0" borderId="0" xfId="0"/>
    <xf numFmtId="0" fontId="0" fillId="3" borderId="1" xfId="0" applyFill="1" applyBorder="1"/>
    <xf numFmtId="0" fontId="0" fillId="4" borderId="8" xfId="0" applyFill="1" applyBorder="1"/>
    <xf numFmtId="0" fontId="0" fillId="4" borderId="9" xfId="0" applyFill="1" applyBorder="1"/>
    <xf numFmtId="0" fontId="0" fillId="4" borderId="10" xfId="0" applyFill="1" applyBorder="1"/>
    <xf numFmtId="0" fontId="0" fillId="0" borderId="1" xfId="0" applyBorder="1"/>
    <xf numFmtId="0" fontId="0" fillId="4" borderId="11" xfId="0" applyFill="1" applyBorder="1"/>
    <xf numFmtId="0" fontId="0" fillId="4" borderId="12" xfId="0" applyFill="1" applyBorder="1"/>
    <xf numFmtId="0" fontId="1" fillId="2" borderId="13" xfId="0" applyFont="1" applyFill="1" applyBorder="1"/>
    <xf numFmtId="0" fontId="1" fillId="2" borderId="14" xfId="0" applyFont="1" applyFill="1" applyBorder="1"/>
    <xf numFmtId="164" fontId="0" fillId="0" borderId="0" xfId="0" applyNumberFormat="1"/>
    <xf numFmtId="2" fontId="0" fillId="0" borderId="0" xfId="0" applyNumberFormat="1"/>
    <xf numFmtId="164" fontId="0" fillId="4" borderId="2" xfId="0" applyNumberFormat="1" applyFill="1" applyBorder="1"/>
    <xf numFmtId="164" fontId="0" fillId="4" borderId="3" xfId="0" applyNumberFormat="1" applyFill="1" applyBorder="1"/>
    <xf numFmtId="0" fontId="0" fillId="4" borderId="7" xfId="0" applyFill="1" applyBorder="1"/>
    <xf numFmtId="0" fontId="0" fillId="5" borderId="11" xfId="0" applyFill="1" applyBorder="1"/>
    <xf numFmtId="0" fontId="0" fillId="5" borderId="3" xfId="0" applyFill="1" applyBorder="1"/>
    <xf numFmtId="0" fontId="0" fillId="5" borderId="2" xfId="0" applyFill="1" applyBorder="1"/>
    <xf numFmtId="0" fontId="0" fillId="5" borderId="12" xfId="0" applyFill="1" applyBorder="1"/>
    <xf numFmtId="0" fontId="0" fillId="5" borderId="9" xfId="0" applyFill="1" applyBorder="1"/>
    <xf numFmtId="0" fontId="0" fillId="6" borderId="16" xfId="0" applyFill="1" applyBorder="1"/>
    <xf numFmtId="0" fontId="0" fillId="6" borderId="17" xfId="0" applyFill="1" applyBorder="1"/>
    <xf numFmtId="0" fontId="0" fillId="6" borderId="5" xfId="0" applyFill="1" applyBorder="1"/>
    <xf numFmtId="164" fontId="0" fillId="3" borderId="1" xfId="0" applyNumberFormat="1" applyFill="1" applyBorder="1"/>
    <xf numFmtId="164" fontId="0" fillId="0" borderId="1" xfId="0" applyNumberFormat="1" applyBorder="1"/>
    <xf numFmtId="0" fontId="0" fillId="0" borderId="15" xfId="0" applyBorder="1"/>
    <xf numFmtId="164" fontId="0" fillId="0" borderId="15" xfId="0" applyNumberFormat="1" applyBorder="1"/>
    <xf numFmtId="0" fontId="0" fillId="6" borderId="11" xfId="0" applyFill="1" applyBorder="1"/>
    <xf numFmtId="0" fontId="0" fillId="6" borderId="18" xfId="0" applyFill="1" applyBorder="1"/>
    <xf numFmtId="0" fontId="0" fillId="6" borderId="4" xfId="0" applyFill="1" applyBorder="1"/>
    <xf numFmtId="0" fontId="0" fillId="6" borderId="7" xfId="0" applyFill="1" applyBorder="1"/>
    <xf numFmtId="0" fontId="0" fillId="6" borderId="12" xfId="0" applyFill="1" applyBorder="1"/>
    <xf numFmtId="0" fontId="2" fillId="3" borderId="1" xfId="0" applyFont="1" applyFill="1" applyBorder="1"/>
    <xf numFmtId="0" fontId="2" fillId="0" borderId="1" xfId="0" applyFont="1" applyBorder="1"/>
    <xf numFmtId="0" fontId="1" fillId="2" borderId="19" xfId="0" applyFont="1" applyFill="1" applyBorder="1"/>
    <xf numFmtId="1" fontId="0" fillId="0" borderId="0" xfId="0" applyNumberFormat="1"/>
    <xf numFmtId="164" fontId="0" fillId="6" borderId="2" xfId="0" applyNumberFormat="1" applyFill="1" applyBorder="1"/>
    <xf numFmtId="164" fontId="0" fillId="6" borderId="3" xfId="0" applyNumberFormat="1" applyFill="1" applyBorder="1"/>
    <xf numFmtId="0" fontId="0" fillId="6" borderId="8" xfId="0" applyFill="1" applyBorder="1"/>
    <xf numFmtId="0" fontId="0" fillId="6" borderId="9" xfId="0" applyFill="1" applyBorder="1"/>
    <xf numFmtId="0" fontId="0" fillId="6" borderId="10" xfId="0" applyFill="1" applyBorder="1"/>
    <xf numFmtId="164" fontId="0" fillId="0" borderId="11" xfId="0" applyNumberFormat="1" applyBorder="1"/>
    <xf numFmtId="164" fontId="0" fillId="0" borderId="21" xfId="0" applyNumberFormat="1" applyBorder="1"/>
    <xf numFmtId="164" fontId="0" fillId="0" borderId="12" xfId="0" applyNumberFormat="1" applyBorder="1"/>
    <xf numFmtId="164" fontId="0" fillId="0" borderId="22" xfId="0" applyNumberFormat="1" applyBorder="1"/>
    <xf numFmtId="164" fontId="0" fillId="0" borderId="23" xfId="0" applyNumberFormat="1" applyBorder="1"/>
    <xf numFmtId="164" fontId="0" fillId="0" borderId="24" xfId="0" applyNumberFormat="1" applyBorder="1"/>
    <xf numFmtId="164" fontId="0" fillId="0" borderId="25" xfId="0" applyNumberFormat="1" applyBorder="1"/>
    <xf numFmtId="164" fontId="0" fillId="0" borderId="26" xfId="0" applyNumberFormat="1" applyBorder="1"/>
    <xf numFmtId="164" fontId="0" fillId="0" borderId="27" xfId="0" applyNumberFormat="1" applyBorder="1"/>
    <xf numFmtId="164" fontId="0" fillId="0" borderId="28" xfId="0" applyNumberFormat="1" applyBorder="1"/>
    <xf numFmtId="164" fontId="0" fillId="0" borderId="29" xfId="0" applyNumberFormat="1" applyBorder="1"/>
    <xf numFmtId="1" fontId="2" fillId="3" borderId="1" xfId="0" applyNumberFormat="1" applyFont="1" applyFill="1" applyBorder="1"/>
    <xf numFmtId="1" fontId="2" fillId="0" borderId="1" xfId="0" applyNumberFormat="1" applyFont="1" applyBorder="1"/>
    <xf numFmtId="0" fontId="0" fillId="0" borderId="2" xfId="0" applyBorder="1"/>
    <xf numFmtId="0" fontId="0" fillId="7" borderId="8" xfId="0" applyFill="1" applyBorder="1"/>
    <xf numFmtId="0" fontId="0" fillId="7" borderId="9" xfId="0" applyFill="1" applyBorder="1"/>
    <xf numFmtId="0" fontId="0" fillId="7" borderId="10" xfId="0" applyFill="1" applyBorder="1"/>
    <xf numFmtId="0" fontId="1" fillId="2" borderId="0" xfId="0" applyFont="1" applyFill="1"/>
    <xf numFmtId="0" fontId="1" fillId="2" borderId="20" xfId="0" applyFont="1" applyFill="1" applyBorder="1"/>
    <xf numFmtId="164" fontId="0" fillId="7" borderId="3" xfId="0" applyNumberFormat="1" applyFill="1" applyBorder="1"/>
    <xf numFmtId="164" fontId="0" fillId="7" borderId="2" xfId="0" applyNumberFormat="1" applyFill="1" applyBorder="1"/>
    <xf numFmtId="164" fontId="0" fillId="0" borderId="2" xfId="0" applyNumberFormat="1" applyBorder="1"/>
    <xf numFmtId="164" fontId="0" fillId="0" borderId="3" xfId="0" applyNumberFormat="1" applyBorder="1"/>
    <xf numFmtId="164" fontId="0" fillId="0" borderId="30" xfId="0" applyNumberFormat="1" applyBorder="1"/>
    <xf numFmtId="164" fontId="0" fillId="0" borderId="31" xfId="0" applyNumberFormat="1" applyBorder="1"/>
    <xf numFmtId="164" fontId="0" fillId="0" borderId="32" xfId="0" applyNumberFormat="1" applyBorder="1"/>
    <xf numFmtId="164" fontId="0" fillId="0" borderId="33" xfId="0" applyNumberFormat="1" applyBorder="1"/>
    <xf numFmtId="164" fontId="0" fillId="0" borderId="34" xfId="0" applyNumberFormat="1" applyBorder="1"/>
    <xf numFmtId="164" fontId="0" fillId="0" borderId="35" xfId="0" applyNumberFormat="1" applyBorder="1"/>
    <xf numFmtId="164" fontId="0" fillId="0" borderId="36" xfId="0" applyNumberFormat="1" applyBorder="1"/>
    <xf numFmtId="164" fontId="0" fillId="0" borderId="37" xfId="0" applyNumberFormat="1" applyBorder="1"/>
    <xf numFmtId="164" fontId="0" fillId="0" borderId="5" xfId="0" applyNumberFormat="1" applyBorder="1"/>
    <xf numFmtId="164" fontId="0" fillId="0" borderId="6" xfId="0" applyNumberFormat="1" applyBorder="1"/>
    <xf numFmtId="0" fontId="0" fillId="8" borderId="7" xfId="0" applyFill="1" applyBorder="1"/>
    <xf numFmtId="0" fontId="0" fillId="6" borderId="7" xfId="0" applyFill="1" applyBorder="1" applyAlignment="1">
      <alignment wrapText="1"/>
    </xf>
    <xf numFmtId="0" fontId="1" fillId="2" borderId="38" xfId="0" applyFont="1" applyFill="1" applyBorder="1"/>
    <xf numFmtId="0" fontId="2" fillId="3" borderId="38" xfId="0" applyFont="1" applyFill="1" applyBorder="1"/>
    <xf numFmtId="0" fontId="2" fillId="0" borderId="38" xfId="0" applyFont="1" applyBorder="1"/>
    <xf numFmtId="164" fontId="0" fillId="3" borderId="46" xfId="0" applyNumberFormat="1" applyFill="1" applyBorder="1"/>
    <xf numFmtId="164" fontId="0" fillId="0" borderId="39" xfId="0" applyNumberFormat="1" applyBorder="1"/>
    <xf numFmtId="164" fontId="0" fillId="3" borderId="39" xfId="0" applyNumberFormat="1" applyFill="1" applyBorder="1"/>
    <xf numFmtId="164" fontId="0" fillId="0" borderId="41" xfId="0" applyNumberFormat="1" applyBorder="1"/>
    <xf numFmtId="164" fontId="0" fillId="3" borderId="47" xfId="0" applyNumberFormat="1" applyFill="1" applyBorder="1"/>
    <xf numFmtId="164" fontId="0" fillId="3" borderId="48" xfId="0" applyNumberFormat="1" applyFill="1" applyBorder="1"/>
    <xf numFmtId="164" fontId="0" fillId="3" borderId="49" xfId="0" applyNumberFormat="1" applyFill="1" applyBorder="1"/>
    <xf numFmtId="164" fontId="0" fillId="0" borderId="40" xfId="0" applyNumberFormat="1" applyBorder="1"/>
    <xf numFmtId="164" fontId="0" fillId="0" borderId="44" xfId="0" applyNumberFormat="1" applyBorder="1"/>
    <xf numFmtId="164" fontId="0" fillId="3" borderId="40" xfId="0" applyNumberFormat="1" applyFill="1" applyBorder="1"/>
    <xf numFmtId="164" fontId="0" fillId="3" borderId="44" xfId="0" applyNumberFormat="1" applyFill="1" applyBorder="1"/>
    <xf numFmtId="164" fontId="0" fillId="0" borderId="42" xfId="0" applyNumberFormat="1" applyBorder="1"/>
    <xf numFmtId="164" fontId="0" fillId="0" borderId="43" xfId="0" applyNumberFormat="1" applyBorder="1"/>
    <xf numFmtId="164" fontId="0" fillId="0" borderId="45" xfId="0" applyNumberFormat="1" applyBorder="1"/>
    <xf numFmtId="164" fontId="0" fillId="0" borderId="13" xfId="0" applyNumberFormat="1" applyBorder="1"/>
    <xf numFmtId="0" fontId="1" fillId="2" borderId="1" xfId="0" applyFont="1" applyFill="1" applyBorder="1"/>
    <xf numFmtId="0" fontId="1" fillId="2" borderId="50" xfId="0" applyFont="1" applyFill="1" applyBorder="1"/>
    <xf numFmtId="164" fontId="0" fillId="3" borderId="3" xfId="0" applyNumberFormat="1" applyFill="1" applyBorder="1"/>
    <xf numFmtId="164" fontId="0" fillId="3" borderId="2" xfId="0" applyNumberFormat="1" applyFill="1" applyBorder="1"/>
    <xf numFmtId="0" fontId="1" fillId="2" borderId="47" xfId="0" applyFont="1" applyFill="1" applyBorder="1"/>
    <xf numFmtId="0" fontId="1" fillId="2" borderId="49" xfId="0" applyFont="1" applyFill="1" applyBorder="1"/>
    <xf numFmtId="164" fontId="0" fillId="3" borderId="33" xfId="0" applyNumberFormat="1" applyFill="1" applyBorder="1"/>
    <xf numFmtId="164" fontId="0" fillId="3" borderId="34" xfId="0" applyNumberFormat="1" applyFill="1" applyBorder="1"/>
    <xf numFmtId="164" fontId="0" fillId="3" borderId="30" xfId="0" applyNumberFormat="1" applyFill="1" applyBorder="1"/>
    <xf numFmtId="164" fontId="0" fillId="3" borderId="31" xfId="0" applyNumberFormat="1" applyFill="1" applyBorder="1"/>
    <xf numFmtId="164" fontId="0" fillId="3" borderId="32" xfId="0" applyNumberFormat="1" applyFill="1" applyBorder="1"/>
    <xf numFmtId="0" fontId="0" fillId="9" borderId="0" xfId="0" applyFill="1"/>
    <xf numFmtId="0" fontId="0" fillId="9" borderId="11" xfId="0" applyFill="1" applyBorder="1"/>
    <xf numFmtId="0" fontId="0" fillId="9" borderId="12" xfId="0" applyFill="1" applyBorder="1"/>
    <xf numFmtId="0" fontId="0" fillId="9" borderId="7" xfId="0" applyFill="1" applyBorder="1"/>
    <xf numFmtId="0" fontId="0" fillId="10" borderId="0" xfId="0" applyFill="1"/>
    <xf numFmtId="0" fontId="0" fillId="11" borderId="0" xfId="0" applyFill="1"/>
    <xf numFmtId="164" fontId="2" fillId="3" borderId="2" xfId="0" applyNumberFormat="1" applyFont="1" applyFill="1" applyBorder="1"/>
    <xf numFmtId="164" fontId="2" fillId="0" borderId="2" xfId="0" applyNumberFormat="1" applyFont="1" applyBorder="1"/>
    <xf numFmtId="0" fontId="0" fillId="12" borderId="0" xfId="0" applyFill="1"/>
    <xf numFmtId="0" fontId="0" fillId="4" borderId="0" xfId="0" applyFill="1"/>
    <xf numFmtId="0" fontId="0" fillId="7" borderId="7" xfId="0" applyFill="1" applyBorder="1"/>
    <xf numFmtId="0" fontId="0" fillId="3" borderId="2" xfId="0" applyFill="1" applyBorder="1"/>
    <xf numFmtId="0" fontId="1" fillId="2" borderId="51" xfId="0" applyFont="1" applyFill="1" applyBorder="1"/>
    <xf numFmtId="1" fontId="2" fillId="3" borderId="38" xfId="0" applyNumberFormat="1" applyFont="1" applyFill="1" applyBorder="1"/>
    <xf numFmtId="1" fontId="2" fillId="0" borderId="38" xfId="0" applyNumberFormat="1" applyFont="1" applyBorder="1"/>
  </cellXfs>
  <cellStyles count="1">
    <cellStyle name="Normal" xfId="0" builtinId="0"/>
  </cellStyles>
  <dxfs count="322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border outline="0">
        <left style="thin">
          <color theme="4" tint="0.39997558519241921"/>
        </left>
        <top style="thin">
          <color theme="4" tint="0.39997558519241921"/>
        </top>
      </border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4"/>
          <bgColor theme="4"/>
        </patternFill>
      </fill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outline="0">
        <left style="thin">
          <color theme="4" tint="0.39997558519241921"/>
        </left>
        <top style="thin">
          <color theme="4" tint="0.39997558519241921"/>
        </top>
      </border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4"/>
          <bgColor theme="4"/>
        </patternFill>
      </fill>
    </dxf>
    <dxf>
      <numFmt numFmtId="164" formatCode="0.000"/>
    </dxf>
    <dxf>
      <numFmt numFmtId="164" formatCode="0.000"/>
    </dxf>
    <dxf>
      <numFmt numFmtId="164" formatCode="0.00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outline="0">
        <left style="thin">
          <color theme="4" tint="0.39997558519241921"/>
        </left>
        <top style="thin">
          <color theme="4" tint="0.39997558519241921"/>
        </top>
      </border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4"/>
          <bgColor theme="4"/>
        </patternFill>
      </fill>
      <border diagonalUp="0" diagonalDown="0" outline="0">
        <left style="thin">
          <color theme="4" tint="0.39997558519241921"/>
        </left>
        <right style="thin">
          <color theme="4" tint="0.39997558519241921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0.000"/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0.00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0.00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border outline="0">
        <top style="thin">
          <color theme="4" tint="0.39997558519241921"/>
        </top>
      </border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</font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4"/>
          <bgColor theme="4"/>
        </patternFill>
      </fill>
      <border diagonalUp="0" diagonalDown="0" outline="0">
        <left style="thin">
          <color theme="4" tint="0.39997558519241921"/>
        </left>
        <right style="thin">
          <color theme="4" tint="0.39997558519241921"/>
        </right>
        <top/>
        <bottom/>
      </border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border outline="0">
        <left style="thin">
          <color theme="4" tint="0.39997558519241921"/>
        </left>
        <top style="thin">
          <color theme="4" tint="0.39997558519241921"/>
        </top>
      </border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4"/>
          <bgColor theme="4"/>
        </patternFill>
      </fill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0.000"/>
      <border diagonalUp="0" diagonalDown="0">
        <left/>
        <right style="medium">
          <color indexed="64"/>
        </right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0.00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0.00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0.00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0.00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0.00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0.00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0.00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0.000"/>
      <border diagonalUp="0" diagonalDown="0">
        <left style="medium">
          <color indexed="64"/>
        </left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0.000"/>
      <border diagonalUp="0" diagonalDown="0">
        <left style="medium">
          <color indexed="64"/>
        </left>
        <right style="medium">
          <color indexed="64"/>
        </right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" formatCode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outline="0">
        <left style="thin">
          <color theme="4" tint="0.39997558519241921"/>
        </left>
        <top style="thin">
          <color theme="4" tint="0.39997558519241921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4"/>
          <bgColor theme="4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0.00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0.00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0.00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0.00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0.000"/>
      <border diagonalUp="0" diagonalDown="0">
        <left/>
        <right style="medium">
          <color indexed="64"/>
        </right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0.00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0.00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0.00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0.00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0.00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0.00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0.00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0.000"/>
      <border diagonalUp="0" diagonalDown="0">
        <left style="medium">
          <color indexed="64"/>
        </left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0.000"/>
      <border diagonalUp="0" diagonalDown="0">
        <left style="medium">
          <color indexed="64"/>
        </left>
        <right style="medium">
          <color indexed="64"/>
        </right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" formatCode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outline="0">
        <left style="thin">
          <color theme="4" tint="0.39997558519241921"/>
        </left>
        <top style="thin">
          <color theme="4" tint="0.39997558519241921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4"/>
          <bgColor theme="4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0.000"/>
      <border diagonalUp="0" diagonalDown="0">
        <left/>
        <right style="medium">
          <color indexed="64"/>
        </right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0.00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0.00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0.00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0.00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0.00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0.00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0.00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0.000"/>
      <border diagonalUp="0" diagonalDown="0">
        <left style="medium">
          <color indexed="64"/>
        </left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0.000"/>
      <border diagonalUp="0" diagonalDown="0">
        <left style="medium">
          <color indexed="64"/>
        </left>
        <right style="medium">
          <color indexed="64"/>
        </right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outline="0">
        <left style="thin">
          <color theme="4" tint="0.39997558519241921"/>
        </left>
        <top style="thin">
          <color theme="4" tint="0.39997558519241921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4"/>
          <bgColor theme="4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0.000"/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0.000"/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0.000"/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0.000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0.000"/>
      <border diagonalUp="0" diagonalDown="0">
        <left style="medium">
          <color indexed="64"/>
        </left>
        <right style="medium">
          <color indexed="64"/>
        </right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" formatCode="0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outline="0">
        <left style="thin">
          <color theme="4" tint="0.39997558519241921"/>
        </left>
        <top style="thin">
          <color theme="4" tint="0.39997558519241921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4"/>
          <bgColor theme="4"/>
        </patternFill>
      </fill>
    </dxf>
    <dxf>
      <numFmt numFmtId="164" formatCode="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0.000"/>
      <border diagonalUp="0" diagonalDown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0.000"/>
      <border diagonalUp="0" diagonalDown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0.000"/>
      <border diagonalUp="0" diagonalDown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0.000"/>
      <border diagonalUp="0" diagonalDown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border outline="0">
        <left style="thin">
          <color theme="4" tint="0.39997558519241921"/>
        </left>
        <top style="thin">
          <color theme="4" tint="0.39997558519241921"/>
        </top>
      </border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4"/>
          <bgColor theme="4"/>
        </patternFill>
      </fill>
    </dxf>
    <dxf>
      <numFmt numFmtId="164" formatCode="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0.000"/>
      <border diagonalUp="0" diagonalDown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0.000"/>
      <border diagonalUp="0" diagonalDown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border outline="0">
        <left style="thin">
          <color theme="4" tint="0.39997558519241921"/>
        </left>
        <top style="thin">
          <color theme="4" tint="0.39997558519241921"/>
        </top>
      </border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4"/>
          <bgColor theme="4"/>
        </patternFill>
      </fill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</dxf>
    <dxf>
      <numFmt numFmtId="164" formatCode="0.00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" formatCode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border outline="0">
        <left style="thin">
          <color theme="4" tint="0.39997558519241921"/>
        </left>
        <top style="thin">
          <color theme="4" tint="0.39997558519241921"/>
        </top>
      </border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4"/>
          <bgColor theme="4"/>
        </patternFill>
      </fill>
    </dxf>
    <dxf>
      <numFmt numFmtId="164" formatCode="0.00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</dxf>
    <dxf>
      <numFmt numFmtId="164" formatCode="0.000"/>
    </dxf>
    <dxf>
      <numFmt numFmtId="1" formatCode="0"/>
    </dxf>
    <dxf>
      <numFmt numFmtId="164" formatCode="0.0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101</xdr:row>
      <xdr:rowOff>0</xdr:rowOff>
    </xdr:from>
    <xdr:to>
      <xdr:col>12</xdr:col>
      <xdr:colOff>304800</xdr:colOff>
      <xdr:row>102</xdr:row>
      <xdr:rowOff>94587</xdr:rowOff>
    </xdr:to>
    <xdr:sp macro="" textlink="">
      <xdr:nvSpPr>
        <xdr:cNvPr id="2050" name="AutoShape 2">
          <a:extLst>
            <a:ext uri="{FF2B5EF4-FFF2-40B4-BE49-F238E27FC236}">
              <a16:creationId xmlns:a16="http://schemas.microsoft.com/office/drawing/2014/main" id="{FBB74DB7-FF1A-A752-4D86-1C73871E01CE}"/>
            </a:ext>
          </a:extLst>
        </xdr:cNvPr>
        <xdr:cNvSpPr>
          <a:spLocks noChangeAspect="1" noChangeArrowheads="1"/>
        </xdr:cNvSpPr>
      </xdr:nvSpPr>
      <xdr:spPr bwMode="auto">
        <a:xfrm>
          <a:off x="12830175" y="17792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1942507</xdr:colOff>
      <xdr:row>108</xdr:row>
      <xdr:rowOff>119913</xdr:rowOff>
    </xdr:from>
    <xdr:to>
      <xdr:col>15</xdr:col>
      <xdr:colOff>629540</xdr:colOff>
      <xdr:row>123</xdr:row>
      <xdr:rowOff>131012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46C7570-5F29-64D5-7C50-3E53AB0B81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631293" y="21510342"/>
          <a:ext cx="5792139" cy="2886288"/>
        </a:xfrm>
        <a:prstGeom prst="rect">
          <a:avLst/>
        </a:prstGeom>
      </xdr:spPr>
    </xdr:pic>
    <xdr:clientData/>
  </xdr:twoCellAnchor>
  <xdr:twoCellAnchor editAs="oneCell">
    <xdr:from>
      <xdr:col>14</xdr:col>
      <xdr:colOff>71438</xdr:colOff>
      <xdr:row>148</xdr:row>
      <xdr:rowOff>125017</xdr:rowOff>
    </xdr:from>
    <xdr:to>
      <xdr:col>16</xdr:col>
      <xdr:colOff>321545</xdr:colOff>
      <xdr:row>151</xdr:row>
      <xdr:rowOff>172728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8E3657D-69E5-1FCF-4C7B-2741E65857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6597313" y="27033142"/>
          <a:ext cx="3467584" cy="61921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146238</xdr:colOff>
      <xdr:row>37</xdr:row>
      <xdr:rowOff>85724</xdr:rowOff>
    </xdr:from>
    <xdr:to>
      <xdr:col>5</xdr:col>
      <xdr:colOff>542925</xdr:colOff>
      <xdr:row>41</xdr:row>
      <xdr:rowOff>180975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2D10C10C-B862-9189-E6A8-55D13E51CB71}"/>
            </a:ext>
          </a:extLst>
        </xdr:cNvPr>
        <xdr:cNvSpPr txBox="1"/>
      </xdr:nvSpPr>
      <xdr:spPr>
        <a:xfrm>
          <a:off x="146238" y="7210424"/>
          <a:ext cx="6273612" cy="857251"/>
        </a:xfrm>
        <a:prstGeom prst="rect">
          <a:avLst/>
        </a:prstGeom>
        <a:solidFill>
          <a:schemeClr val="accent1">
            <a:lumMod val="5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100">
              <a:solidFill>
                <a:schemeClr val="bg1"/>
              </a:solidFill>
            </a:rPr>
            <a:t>Best Model/Target</a:t>
          </a:r>
          <a:r>
            <a:rPr lang="en-GB" sz="1100" baseline="0">
              <a:solidFill>
                <a:schemeClr val="bg1"/>
              </a:solidFill>
            </a:rPr>
            <a:t> Pearson r: 0.712 | seed:12345 | runtime:40s</a:t>
          </a:r>
        </a:p>
        <a:p>
          <a:r>
            <a:rPr lang="en-GB" sz="1100" baseline="0">
              <a:solidFill>
                <a:schemeClr val="bg1"/>
              </a:solidFill>
            </a:rPr>
            <a:t>Best Serotonin Effect Pearson r: 0.675 | seed:98760 | runtime:40s</a:t>
          </a:r>
        </a:p>
        <a:p>
          <a:endParaRPr lang="en-GB" sz="1100" baseline="0">
            <a:solidFill>
              <a:schemeClr val="bg1"/>
            </a:solidFill>
          </a:endParaRPr>
        </a:p>
        <a:p>
          <a:r>
            <a:rPr lang="en-GB" sz="1100" baseline="0">
              <a:solidFill>
                <a:schemeClr val="bg1"/>
              </a:solidFill>
            </a:rPr>
            <a:t>Model/Target Serotonin Effect Pearson r: 0.155</a:t>
          </a:r>
        </a:p>
        <a:p>
          <a:endParaRPr lang="en-GB" sz="1100" baseline="0">
            <a:solidFill>
              <a:schemeClr val="bg1"/>
            </a:solidFill>
          </a:endParaRPr>
        </a:p>
      </xdr:txBody>
    </xdr:sp>
    <xdr:clientData/>
  </xdr:twoCellAnchor>
  <xdr:twoCellAnchor>
    <xdr:from>
      <xdr:col>13</xdr:col>
      <xdr:colOff>193552</xdr:colOff>
      <xdr:row>42</xdr:row>
      <xdr:rowOff>116098</xdr:rowOff>
    </xdr:from>
    <xdr:to>
      <xdr:col>16</xdr:col>
      <xdr:colOff>151743</xdr:colOff>
      <xdr:row>47</xdr:row>
      <xdr:rowOff>5585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1493C655-9EA2-54F4-B53C-F9728E62789E}"/>
            </a:ext>
          </a:extLst>
        </xdr:cNvPr>
        <xdr:cNvSpPr txBox="1"/>
      </xdr:nvSpPr>
      <xdr:spPr>
        <a:xfrm>
          <a:off x="14519152" y="8193298"/>
          <a:ext cx="3511016" cy="880087"/>
        </a:xfrm>
        <a:prstGeom prst="rect">
          <a:avLst/>
        </a:prstGeom>
        <a:solidFill>
          <a:schemeClr val="accent1">
            <a:lumMod val="5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100" baseline="0">
              <a:solidFill>
                <a:schemeClr val="bg1"/>
              </a:solidFill>
            </a:rPr>
            <a:t>Serotonin Effect Hypothoses:</a:t>
          </a:r>
        </a:p>
        <a:p>
          <a:r>
            <a:rPr lang="en-GB" sz="1100" baseline="0">
              <a:solidFill>
                <a:schemeClr val="bg1"/>
              </a:solidFill>
            </a:rPr>
            <a:t>1A: Inhibitory	|  Presents in SST and SOMA</a:t>
          </a:r>
        </a:p>
        <a:p>
          <a:r>
            <a:rPr lang="en-GB" sz="1100" baseline="0">
              <a:solidFill>
                <a:schemeClr val="bg1"/>
              </a:solidFill>
            </a:rPr>
            <a:t>2A: Excitatory	|  Presents in PV and DENDRITE</a:t>
          </a:r>
        </a:p>
        <a:p>
          <a:r>
            <a:rPr lang="en-GB" sz="1100" baseline="0">
              <a:solidFill>
                <a:schemeClr val="bg1"/>
              </a:solidFill>
            </a:rPr>
            <a:t>3A: Excitatory	|  Presents in VIP</a:t>
          </a:r>
        </a:p>
        <a:p>
          <a:endParaRPr lang="en-GB" sz="1100">
            <a:solidFill>
              <a:schemeClr val="bg1"/>
            </a:solidFill>
          </a:endParaRPr>
        </a:p>
      </xdr:txBody>
    </xdr:sp>
    <xdr:clientData/>
  </xdr:twoCellAnchor>
  <xdr:twoCellAnchor>
    <xdr:from>
      <xdr:col>16</xdr:col>
      <xdr:colOff>381001</xdr:colOff>
      <xdr:row>41</xdr:row>
      <xdr:rowOff>144516</xdr:rowOff>
    </xdr:from>
    <xdr:to>
      <xdr:col>19</xdr:col>
      <xdr:colOff>1116726</xdr:colOff>
      <xdr:row>48</xdr:row>
      <xdr:rowOff>85395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83F41492-CD29-545D-3732-A12DCB7194FC}"/>
            </a:ext>
          </a:extLst>
        </xdr:cNvPr>
        <xdr:cNvSpPr txBox="1"/>
      </xdr:nvSpPr>
      <xdr:spPr>
        <a:xfrm>
          <a:off x="17788760" y="8007568"/>
          <a:ext cx="3639207" cy="1300655"/>
        </a:xfrm>
        <a:prstGeom prst="rect">
          <a:avLst/>
        </a:prstGeom>
        <a:solidFill>
          <a:schemeClr val="accent1">
            <a:lumMod val="5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100">
              <a:solidFill>
                <a:schemeClr val="bg1"/>
              </a:solidFill>
            </a:rPr>
            <a:t>Role</a:t>
          </a:r>
          <a:r>
            <a:rPr lang="en-GB" sz="1100" baseline="0">
              <a:solidFill>
                <a:schemeClr val="bg1"/>
              </a:solidFill>
            </a:rPr>
            <a:t> of f/I parameters:</a:t>
          </a:r>
        </a:p>
        <a:p>
          <a:r>
            <a:rPr lang="en-GB" sz="1100" baseline="0">
              <a:solidFill>
                <a:schemeClr val="bg1"/>
              </a:solidFill>
            </a:rPr>
            <a:t>a_e controls the slope </a:t>
          </a:r>
        </a:p>
        <a:p>
          <a:r>
            <a:rPr lang="en-GB" sz="1100" baseline="0">
              <a:solidFill>
                <a:schemeClr val="bg1"/>
              </a:solidFill>
            </a:rPr>
            <a:t>b_e controls the threshold</a:t>
          </a:r>
        </a:p>
        <a:p>
          <a:r>
            <a:rPr lang="en-GB" sz="1100" baseline="0">
              <a:solidFill>
                <a:schemeClr val="bg1"/>
              </a:solidFill>
            </a:rPr>
            <a:t>d_e controls the curvature of the slope</a:t>
          </a:r>
        </a:p>
        <a:p>
          <a:endParaRPr lang="en-GB" sz="1100" baseline="0">
            <a:solidFill>
              <a:schemeClr val="bg1"/>
            </a:solidFill>
          </a:endParaRPr>
        </a:p>
        <a:p>
          <a:r>
            <a:rPr lang="en-GB" sz="1100">
              <a:solidFill>
                <a:schemeClr val="bg1"/>
              </a:solidFill>
            </a:rPr>
            <a:t>c_I</a:t>
          </a:r>
          <a:r>
            <a:rPr lang="en-GB" sz="1100" baseline="0">
              <a:solidFill>
                <a:schemeClr val="bg1"/>
              </a:solidFill>
            </a:rPr>
            <a:t> controls the slope</a:t>
          </a:r>
        </a:p>
        <a:p>
          <a:r>
            <a:rPr lang="en-GB" sz="1100" baseline="0">
              <a:solidFill>
                <a:schemeClr val="bg1"/>
              </a:solidFill>
            </a:rPr>
            <a:t>r_0 controls the threshold</a:t>
          </a:r>
        </a:p>
        <a:p>
          <a:endParaRPr lang="en-GB" sz="1100">
            <a:solidFill>
              <a:schemeClr val="bg1"/>
            </a:solidFill>
          </a:endParaRPr>
        </a:p>
      </xdr:txBody>
    </xdr:sp>
    <xdr:clientData/>
  </xdr:twoCellAnchor>
  <xdr:twoCellAnchor>
    <xdr:from>
      <xdr:col>6</xdr:col>
      <xdr:colOff>933449</xdr:colOff>
      <xdr:row>87</xdr:row>
      <xdr:rowOff>142875</xdr:rowOff>
    </xdr:from>
    <xdr:to>
      <xdr:col>9</xdr:col>
      <xdr:colOff>38099</xdr:colOff>
      <xdr:row>91</xdr:row>
      <xdr:rowOff>57151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125E088F-65C9-36D7-8ADE-F6CCF8E57F10}"/>
            </a:ext>
          </a:extLst>
        </xdr:cNvPr>
        <xdr:cNvSpPr txBox="1"/>
      </xdr:nvSpPr>
      <xdr:spPr>
        <a:xfrm>
          <a:off x="8963024" y="16868775"/>
          <a:ext cx="2905125" cy="676276"/>
        </a:xfrm>
        <a:prstGeom prst="rect">
          <a:avLst/>
        </a:prstGeom>
        <a:solidFill>
          <a:schemeClr val="accent1">
            <a:lumMod val="5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100">
              <a:solidFill>
                <a:schemeClr val="bg1"/>
              </a:solidFill>
            </a:rPr>
            <a:t>After</a:t>
          </a:r>
          <a:r>
            <a:rPr lang="en-GB" sz="1100" baseline="0">
              <a:solidFill>
                <a:schemeClr val="bg1"/>
              </a:solidFill>
            </a:rPr>
            <a:t> parameter optimisation, the seed that enabled the model to produce a result most similar to the data was 98760</a:t>
          </a:r>
        </a:p>
        <a:p>
          <a:endParaRPr lang="en-GB" sz="1100">
            <a:solidFill>
              <a:schemeClr val="bg1"/>
            </a:solidFill>
          </a:endParaRPr>
        </a:p>
      </xdr:txBody>
    </xdr:sp>
    <xdr:clientData/>
  </xdr:twoCellAnchor>
  <xdr:twoCellAnchor>
    <xdr:from>
      <xdr:col>20</xdr:col>
      <xdr:colOff>74544</xdr:colOff>
      <xdr:row>43</xdr:row>
      <xdr:rowOff>57980</xdr:rowOff>
    </xdr:from>
    <xdr:to>
      <xdr:col>23</xdr:col>
      <xdr:colOff>546653</xdr:colOff>
      <xdr:row>46</xdr:row>
      <xdr:rowOff>115958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3E3F7917-3641-6161-C48B-AB8E6EB696CF}"/>
            </a:ext>
          </a:extLst>
        </xdr:cNvPr>
        <xdr:cNvSpPr txBox="1"/>
      </xdr:nvSpPr>
      <xdr:spPr>
        <a:xfrm>
          <a:off x="23911892" y="8324023"/>
          <a:ext cx="3337891" cy="654326"/>
        </a:xfrm>
        <a:prstGeom prst="rect">
          <a:avLst/>
        </a:prstGeom>
        <a:solidFill>
          <a:schemeClr val="accent1">
            <a:lumMod val="5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100">
              <a:solidFill>
                <a:schemeClr val="bg1"/>
              </a:solidFill>
            </a:rPr>
            <a:t>Effect of Increasing f/I parameters:</a:t>
          </a:r>
        </a:p>
        <a:p>
          <a:r>
            <a:rPr lang="en-GB" sz="1100">
              <a:solidFill>
                <a:schemeClr val="bg1"/>
              </a:solidFill>
            </a:rPr>
            <a:t>Slope:</a:t>
          </a:r>
          <a:r>
            <a:rPr lang="en-GB" sz="1100" baseline="0">
              <a:solidFill>
                <a:schemeClr val="bg1"/>
              </a:solidFill>
            </a:rPr>
            <a:t> 	Higher Firing Rate for same Current</a:t>
          </a:r>
        </a:p>
        <a:p>
          <a:r>
            <a:rPr lang="en-GB" sz="1100" baseline="0">
              <a:solidFill>
                <a:schemeClr val="bg1"/>
              </a:solidFill>
            </a:rPr>
            <a:t>Threshold: 	Lower Firing Rate for same Current</a:t>
          </a:r>
          <a:endParaRPr lang="en-GB" sz="1100">
            <a:solidFill>
              <a:schemeClr val="bg1"/>
            </a:solidFill>
          </a:endParaRPr>
        </a:p>
      </xdr:txBody>
    </xdr:sp>
    <xdr:clientData/>
  </xdr:twoCellAnchor>
  <xdr:twoCellAnchor>
    <xdr:from>
      <xdr:col>12</xdr:col>
      <xdr:colOff>1247775</xdr:colOff>
      <xdr:row>75</xdr:row>
      <xdr:rowOff>104776</xdr:rowOff>
    </xdr:from>
    <xdr:to>
      <xdr:col>14</xdr:col>
      <xdr:colOff>1009650</xdr:colOff>
      <xdr:row>87</xdr:row>
      <xdr:rowOff>47625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C37AC2BB-AB0D-21AA-921A-FAB63278CB90}"/>
            </a:ext>
          </a:extLst>
        </xdr:cNvPr>
        <xdr:cNvSpPr txBox="1"/>
      </xdr:nvSpPr>
      <xdr:spPr>
        <a:xfrm>
          <a:off x="15678150" y="14554201"/>
          <a:ext cx="3038475" cy="2238374"/>
        </a:xfrm>
        <a:prstGeom prst="rect">
          <a:avLst/>
        </a:prstGeom>
        <a:solidFill>
          <a:schemeClr val="accent1">
            <a:lumMod val="5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100">
              <a:solidFill>
                <a:schemeClr val="bg1"/>
              </a:solidFill>
            </a:rPr>
            <a:t>Higher</a:t>
          </a:r>
          <a:r>
            <a:rPr lang="en-GB" sz="1100" baseline="0">
              <a:solidFill>
                <a:schemeClr val="bg1"/>
              </a:solidFill>
            </a:rPr>
            <a:t> DRIVE results in a higher BOLD.</a:t>
          </a:r>
        </a:p>
        <a:p>
          <a:r>
            <a:rPr lang="en-GB" sz="1100" baseline="0">
              <a:solidFill>
                <a:schemeClr val="bg1"/>
              </a:solidFill>
            </a:rPr>
            <a:t>Higher FC is a result of correlations in BOLD.</a:t>
          </a:r>
        </a:p>
        <a:p>
          <a:r>
            <a:rPr lang="en-GB" sz="1100">
              <a:solidFill>
                <a:schemeClr val="bg1"/>
              </a:solidFill>
            </a:rPr>
            <a:t>Higher</a:t>
          </a:r>
          <a:r>
            <a:rPr lang="en-GB" sz="1100" baseline="0">
              <a:solidFill>
                <a:schemeClr val="bg1"/>
              </a:solidFill>
            </a:rPr>
            <a:t> HZ from E means more DRIVE sent elsewhere.</a:t>
          </a:r>
        </a:p>
        <a:p>
          <a:r>
            <a:rPr lang="en-GB" sz="1100" baseline="0">
              <a:solidFill>
                <a:schemeClr val="bg1"/>
              </a:solidFill>
            </a:rPr>
            <a:t>Sending more DRIVE when internal DRIVE is HIGH means more FC (1).</a:t>
          </a:r>
        </a:p>
        <a:p>
          <a:r>
            <a:rPr lang="en-GB" sz="1100" baseline="0">
              <a:solidFill>
                <a:schemeClr val="bg1"/>
              </a:solidFill>
            </a:rPr>
            <a:t>Sending more DRIVE when internal DRIVE is LOW means less FC (2).</a:t>
          </a:r>
        </a:p>
        <a:p>
          <a:r>
            <a:rPr lang="en-GB" sz="1100" baseline="0">
              <a:solidFill>
                <a:schemeClr val="bg1"/>
              </a:solidFill>
            </a:rPr>
            <a:t>Sending no DRIVE when internal DRIVE is HIGH means less FC (3).</a:t>
          </a:r>
        </a:p>
        <a:p>
          <a:r>
            <a:rPr lang="en-GB" sz="1100" baseline="0">
              <a:solidFill>
                <a:schemeClr val="bg1"/>
              </a:solidFill>
            </a:rPr>
            <a:t>Sending no DRIVE when internal DRIVE is LOW means more FC (4).</a:t>
          </a:r>
        </a:p>
        <a:p>
          <a:endParaRPr lang="en-GB" sz="1100" baseline="0">
            <a:solidFill>
              <a:schemeClr val="bg1"/>
            </a:solidFill>
          </a:endParaRPr>
        </a:p>
      </xdr:txBody>
    </xdr:sp>
    <xdr:clientData/>
  </xdr:twoCellAnchor>
  <xdr:twoCellAnchor>
    <xdr:from>
      <xdr:col>14</xdr:col>
      <xdr:colOff>1133476</xdr:colOff>
      <xdr:row>79</xdr:row>
      <xdr:rowOff>171450</xdr:rowOff>
    </xdr:from>
    <xdr:to>
      <xdr:col>15</xdr:col>
      <xdr:colOff>381001</xdr:colOff>
      <xdr:row>81</xdr:row>
      <xdr:rowOff>123825</xdr:rowOff>
    </xdr:to>
    <xdr:sp macro="" textlink="">
      <xdr:nvSpPr>
        <xdr:cNvPr id="11" name="Arrow: Right 10">
          <a:extLst>
            <a:ext uri="{FF2B5EF4-FFF2-40B4-BE49-F238E27FC236}">
              <a16:creationId xmlns:a16="http://schemas.microsoft.com/office/drawing/2014/main" id="{B8C460E2-AB75-24F8-ED2D-1A50BEFBB5C8}"/>
            </a:ext>
          </a:extLst>
        </xdr:cNvPr>
        <xdr:cNvSpPr/>
      </xdr:nvSpPr>
      <xdr:spPr>
        <a:xfrm>
          <a:off x="18840451" y="15392400"/>
          <a:ext cx="609600" cy="333375"/>
        </a:xfrm>
        <a:prstGeom prst="rightArrow">
          <a:avLst/>
        </a:prstGeom>
        <a:solidFill>
          <a:schemeClr val="accent1">
            <a:lumMod val="5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15</xdr:col>
      <xdr:colOff>428625</xdr:colOff>
      <xdr:row>79</xdr:row>
      <xdr:rowOff>85726</xdr:rowOff>
    </xdr:from>
    <xdr:to>
      <xdr:col>18</xdr:col>
      <xdr:colOff>847725</xdr:colOff>
      <xdr:row>82</xdr:row>
      <xdr:rowOff>28576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E3631845-0E80-9CFA-5FD3-68F1507C8F07}"/>
            </a:ext>
          </a:extLst>
        </xdr:cNvPr>
        <xdr:cNvSpPr txBox="1"/>
      </xdr:nvSpPr>
      <xdr:spPr>
        <a:xfrm>
          <a:off x="19497675" y="15306676"/>
          <a:ext cx="2981325" cy="514350"/>
        </a:xfrm>
        <a:prstGeom prst="rect">
          <a:avLst/>
        </a:prstGeom>
        <a:solidFill>
          <a:schemeClr val="accent1">
            <a:lumMod val="5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100">
              <a:solidFill>
                <a:schemeClr val="bg1"/>
              </a:solidFill>
            </a:rPr>
            <a:t>(1,2)</a:t>
          </a:r>
          <a:r>
            <a:rPr lang="en-GB" sz="1100" baseline="0">
              <a:solidFill>
                <a:schemeClr val="bg1"/>
              </a:solidFill>
            </a:rPr>
            <a:t> Are Primarily Controlled by the Slope</a:t>
          </a:r>
        </a:p>
        <a:p>
          <a:r>
            <a:rPr lang="en-GB" sz="1100" baseline="0">
              <a:solidFill>
                <a:schemeClr val="bg1"/>
              </a:solidFill>
            </a:rPr>
            <a:t>(3,4) Are Primarily Controlled by the Threshold</a:t>
          </a:r>
          <a:endParaRPr lang="en-GB" sz="1100">
            <a:solidFill>
              <a:schemeClr val="bg1"/>
            </a:solidFill>
          </a:endParaRPr>
        </a:p>
      </xdr:txBody>
    </xdr:sp>
    <xdr:clientData/>
  </xdr:twoCellAnchor>
  <xdr:twoCellAnchor>
    <xdr:from>
      <xdr:col>18</xdr:col>
      <xdr:colOff>942975</xdr:colOff>
      <xdr:row>79</xdr:row>
      <xdr:rowOff>161925</xdr:rowOff>
    </xdr:from>
    <xdr:to>
      <xdr:col>19</xdr:col>
      <xdr:colOff>666750</xdr:colOff>
      <xdr:row>81</xdr:row>
      <xdr:rowOff>114300</xdr:rowOff>
    </xdr:to>
    <xdr:sp macro="" textlink="">
      <xdr:nvSpPr>
        <xdr:cNvPr id="13" name="Arrow: Right 12">
          <a:extLst>
            <a:ext uri="{FF2B5EF4-FFF2-40B4-BE49-F238E27FC236}">
              <a16:creationId xmlns:a16="http://schemas.microsoft.com/office/drawing/2014/main" id="{0881088D-741F-473A-88F9-207DADF1167B}"/>
            </a:ext>
          </a:extLst>
        </xdr:cNvPr>
        <xdr:cNvSpPr/>
      </xdr:nvSpPr>
      <xdr:spPr>
        <a:xfrm>
          <a:off x="22574250" y="15382875"/>
          <a:ext cx="790575" cy="333375"/>
        </a:xfrm>
        <a:prstGeom prst="rightArrow">
          <a:avLst/>
        </a:prstGeom>
        <a:solidFill>
          <a:schemeClr val="accent1">
            <a:lumMod val="5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19</xdr:col>
      <xdr:colOff>704850</xdr:colOff>
      <xdr:row>76</xdr:row>
      <xdr:rowOff>152400</xdr:rowOff>
    </xdr:from>
    <xdr:to>
      <xdr:col>22</xdr:col>
      <xdr:colOff>800100</xdr:colOff>
      <xdr:row>85</xdr:row>
      <xdr:rowOff>152400</xdr:rowOff>
    </xdr:to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A44393DA-2E2D-41A7-4CBC-DE5CE13E9D91}"/>
            </a:ext>
          </a:extLst>
        </xdr:cNvPr>
        <xdr:cNvSpPr txBox="1"/>
      </xdr:nvSpPr>
      <xdr:spPr>
        <a:xfrm>
          <a:off x="23402925" y="14801850"/>
          <a:ext cx="3038475" cy="1714500"/>
        </a:xfrm>
        <a:prstGeom prst="rect">
          <a:avLst/>
        </a:prstGeom>
        <a:solidFill>
          <a:schemeClr val="accent1">
            <a:lumMod val="5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100">
              <a:solidFill>
                <a:schemeClr val="bg1"/>
              </a:solidFill>
            </a:rPr>
            <a:t>Whether</a:t>
          </a:r>
          <a:r>
            <a:rPr lang="en-GB" sz="1100" baseline="0">
              <a:solidFill>
                <a:schemeClr val="bg1"/>
              </a:solidFill>
            </a:rPr>
            <a:t> this control is positive or negative, with respect to FC, is determined by the Population type.</a:t>
          </a:r>
        </a:p>
        <a:p>
          <a:r>
            <a:rPr lang="en-GB" sz="1100" baseline="0">
              <a:solidFill>
                <a:schemeClr val="bg1"/>
              </a:solidFill>
            </a:rPr>
            <a:t>In the local circuit:</a:t>
          </a:r>
        </a:p>
        <a:p>
          <a:r>
            <a:rPr lang="en-GB" sz="1100" baseline="0">
              <a:solidFill>
                <a:schemeClr val="bg1"/>
              </a:solidFill>
            </a:rPr>
            <a:t>+SST       -&gt; -Dendrite</a:t>
          </a:r>
        </a:p>
        <a:p>
          <a:r>
            <a:rPr lang="en-GB" sz="1100" baseline="0">
              <a:solidFill>
                <a:schemeClr val="bg1"/>
              </a:solidFill>
            </a:rPr>
            <a:t>+SST       -&gt; -PV</a:t>
          </a:r>
        </a:p>
        <a:p>
          <a:r>
            <a:rPr lang="en-GB" sz="1100" baseline="0">
              <a:solidFill>
                <a:schemeClr val="bg1"/>
              </a:solidFill>
            </a:rPr>
            <a:t>+PV         -&gt; -Soma</a:t>
          </a:r>
        </a:p>
        <a:p>
          <a:r>
            <a:rPr lang="en-GB" sz="1100" baseline="0">
              <a:solidFill>
                <a:schemeClr val="bg1"/>
              </a:solidFill>
            </a:rPr>
            <a:t>+VIP        -&gt; -SST</a:t>
          </a:r>
        </a:p>
        <a:p>
          <a:r>
            <a:rPr lang="en-GB" sz="1100" baseline="0">
              <a:solidFill>
                <a:schemeClr val="bg1"/>
              </a:solidFill>
            </a:rPr>
            <a:t>+SOMA  -&gt; +SST / +PV / +VIP</a:t>
          </a:r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6ECA080-13A0-4EAD-9B78-C907FAA1E37A}" name="Table3" displayName="Table3" ref="A1:U11" totalsRowShown="0" dataDxfId="321">
  <autoFilter ref="A1:U11" xr:uid="{96ECA080-13A0-4EAD-9B78-C907FAA1E37A}"/>
  <tableColumns count="21">
    <tableColumn id="1" xr3:uid="{90D971B2-8A12-4663-B59E-A64B9E3ACB20}" name="final_evaluation_seed" dataDxfId="320"/>
    <tableColumn id="2" xr3:uid="{BDA294FC-58D6-46F6-9587-EF102D78D712}" name="best_difference_vector_cosine" dataDxfId="319"/>
    <tableColumn id="3" xr3:uid="{8DADFB6C-E620-488E-82F0-B00DFE9C72BF}" name="best_pearson_r" dataDxfId="318"/>
    <tableColumn id="4" xr3:uid="{44E404A7-64C9-48D1-BEA8-37DAC6FF833D}" name="seed_a_e" dataDxfId="317"/>
    <tableColumn id="5" xr3:uid="{0031A10A-5BB9-4A13-AB85-C453BE259947}" name="seed_b_e" dataDxfId="316"/>
    <tableColumn id="6" xr3:uid="{A4149257-77E3-4DA3-8D66-E2741B5431E8}" name="seed_d_e" dataDxfId="315"/>
    <tableColumn id="7" xr3:uid="{DA03BCA9-49D0-4373-AF86-D098B2729C46}" name="seed_c_I_sst" dataDxfId="314"/>
    <tableColumn id="8" xr3:uid="{B468D88A-1953-4115-BC1A-7553BD6F03F0}" name="seed_c_I_vip" dataDxfId="313"/>
    <tableColumn id="9" xr3:uid="{BD34FD95-EF0C-4801-B561-1472399ADC58}" name="seed_c_I_pv" dataDxfId="312"/>
    <tableColumn id="10" xr3:uid="{4CBC17EF-CFF0-4154-B2C4-A4A8888EAB5A}" name="seed_r_0_sst" dataDxfId="311"/>
    <tableColumn id="11" xr3:uid="{6D288E8E-6667-4469-8AD1-E62747A423DA}" name="seed_r_0_vip" dataDxfId="310"/>
    <tableColumn id="12" xr3:uid="{9F67D3E9-516C-4278-8CDA-BB0CF64B9740}" name="seed_r_0_pv" dataDxfId="309"/>
    <tableColumn id="13" xr3:uid="{D5F59086-E128-4CCD-AF15-4E50E57864D1}" name="I_background_e" dataDxfId="308"/>
    <tableColumn id="14" xr3:uid="{A73EF0CC-855A-45BB-9A63-198EE6689667}" name="I_background_i" dataDxfId="307"/>
    <tableColumn id="15" xr3:uid="{6960877C-3EFB-49C8-816F-12137BCD97E2}" name="I_background_dend" dataDxfId="306"/>
    <tableColumn id="16" xr3:uid="{B5C47147-4CF4-474B-92B8-CAB79CF8B07E}" name="mu_ee" dataDxfId="305"/>
    <tableColumn id="17" xr3:uid="{20F72C98-CEC9-42A5-B3F3-DC5463DB0F1A}" name="mu_ie" dataDxfId="304"/>
    <tableColumn id="18" xr3:uid="{6849C2FE-7DA3-4843-98B5-75098CE7A33F}" name="e_grad_min" dataDxfId="303"/>
    <tableColumn id="19" xr3:uid="{982464DB-B2BB-49C3-8939-02D2736F4AA8}" name="balloon_kappa" dataDxfId="302"/>
    <tableColumn id="20" xr3:uid="{066BD199-F963-4A3B-B6A5-EFAA10564156}" name="balloon_gamma" dataDxfId="301"/>
    <tableColumn id="21" xr3:uid="{A35DF0CE-40AE-4FAF-84E1-C6D5F0A8913D}" name="balloon_tau" dataDxfId="300"/>
  </tableColumns>
  <tableStyleInfo name="TableStyleMedium2" showFirstColumn="1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DFD61772-D69C-4F23-9385-16963B13A2DF}" name="Table4" displayName="Table4" ref="A22:U32" totalsRowShown="0" headerRowDxfId="299" headerRowBorderDxfId="298" tableBorderDxfId="297">
  <autoFilter ref="A22:U32" xr:uid="{DFD61772-D69C-4F23-9385-16963B13A2DF}"/>
  <tableColumns count="21">
    <tableColumn id="1" xr3:uid="{1AEB5A3A-F66E-487F-8B57-78476E3E17F7}" name="final_evaluation_seed" dataDxfId="296"/>
    <tableColumn id="2" xr3:uid="{87B559BD-A209-4B7E-8D6E-BB923AB7A8E8}" name="best_difference_vector_cosine" dataDxfId="295">
      <calculatedColumnFormula>(B2-B$17)/B$19</calculatedColumnFormula>
    </tableColumn>
    <tableColumn id="3" xr3:uid="{385CEE55-6660-4848-AF20-71847F4B542D}" name="best_pearson_r" dataDxfId="294">
      <calculatedColumnFormula>(C2-C$17)/C$19</calculatedColumnFormula>
    </tableColumn>
    <tableColumn id="4" xr3:uid="{9FD6AB42-5FFB-4D20-B3F4-CE63A83B6D12}" name="seed_a_e" dataDxfId="293">
      <calculatedColumnFormula>(D2-D$17)/D$19</calculatedColumnFormula>
    </tableColumn>
    <tableColumn id="5" xr3:uid="{12425BD5-667B-4BD9-A2D5-E3413A89F26B}" name="seed_b_e" dataDxfId="292">
      <calculatedColumnFormula>(E2-E$17)/E$19</calculatedColumnFormula>
    </tableColumn>
    <tableColumn id="6" xr3:uid="{48A1E88D-847D-44D6-8AA1-FDFD1F597332}" name="seed_d_e" dataDxfId="291">
      <calculatedColumnFormula>(F2-F$17)/F$19</calculatedColumnFormula>
    </tableColumn>
    <tableColumn id="7" xr3:uid="{8BADB531-31CB-4F1E-A33D-A4903B0CCA47}" name="seed_c_I_sst" dataDxfId="290">
      <calculatedColumnFormula>(G2-G$17)/G$19</calculatedColumnFormula>
    </tableColumn>
    <tableColumn id="8" xr3:uid="{F7C9E813-1F15-4645-A977-D3F082CB992C}" name="seed_c_I_vip" dataDxfId="289">
      <calculatedColumnFormula>(H2-H$17)/H$19</calculatedColumnFormula>
    </tableColumn>
    <tableColumn id="9" xr3:uid="{5D08ABDD-556E-4A7C-A59D-5F82AF9D6DCC}" name="seed_c_I_pv" dataDxfId="288">
      <calculatedColumnFormula>(I2-I$17)/I$19</calculatedColumnFormula>
    </tableColumn>
    <tableColumn id="10" xr3:uid="{E98DCCCB-DE18-497E-B8B5-617FC5273627}" name="seed_r_0_sst" dataDxfId="287">
      <calculatedColumnFormula>(J2-J$17)/J$19</calculatedColumnFormula>
    </tableColumn>
    <tableColumn id="11" xr3:uid="{4A41846B-5748-4141-B926-2D1720DDC295}" name="seed_r_0_vip" dataDxfId="286">
      <calculatedColumnFormula>(K2-K$17)/K$19</calculatedColumnFormula>
    </tableColumn>
    <tableColumn id="12" xr3:uid="{00345844-80B6-4710-BBB6-182F979E75C0}" name="seed_r_0_pv" dataDxfId="285">
      <calculatedColumnFormula>(L2-L$17)/L$19</calculatedColumnFormula>
    </tableColumn>
    <tableColumn id="13" xr3:uid="{8C4D71B1-F32C-4B68-8E32-C87B2962B441}" name="I_background_e" dataDxfId="284">
      <calculatedColumnFormula>(M2-M$17)/M$19</calculatedColumnFormula>
    </tableColumn>
    <tableColumn id="14" xr3:uid="{6C6EEF91-A2EB-4237-810F-E03C26A20E2E}" name="I_background_i" dataDxfId="283">
      <calculatedColumnFormula>(N2-N$17)/N$19</calculatedColumnFormula>
    </tableColumn>
    <tableColumn id="15" xr3:uid="{F6C5A251-ECD9-431A-B5BC-50BF7B66898F}" name="I_background_dend" dataDxfId="282">
      <calculatedColumnFormula>(O2-O$17)/O$19</calculatedColumnFormula>
    </tableColumn>
    <tableColumn id="16" xr3:uid="{290A288B-4107-4FA2-8DAA-9AC2562ABE78}" name="mu_ee" dataDxfId="281">
      <calculatedColumnFormula>(P2-P$17)/P$19</calculatedColumnFormula>
    </tableColumn>
    <tableColumn id="17" xr3:uid="{C8FEE778-D4A0-49C9-812A-38E859DD0CF6}" name="mu_ie" dataDxfId="280">
      <calculatedColumnFormula>(Q2-Q$17)/Q$19</calculatedColumnFormula>
    </tableColumn>
    <tableColumn id="18" xr3:uid="{00DD43C9-F907-4912-A951-59897BDE04D8}" name="e_grad_min" dataDxfId="279">
      <calculatedColumnFormula>(R2-R$17)/R$19</calculatedColumnFormula>
    </tableColumn>
    <tableColumn id="19" xr3:uid="{3172B8BE-C05C-4B6C-B46C-82BFCBC9F5B6}" name="balloon_kappa" dataDxfId="278">
      <calculatedColumnFormula>(S2-S$17)/S$19</calculatedColumnFormula>
    </tableColumn>
    <tableColumn id="20" xr3:uid="{F109293C-9D49-45E3-8FB2-18F0FB9F9C49}" name="balloon_gamma" dataDxfId="277">
      <calculatedColumnFormula>(T2-T$17)/T$19</calculatedColumnFormula>
    </tableColumn>
    <tableColumn id="21" xr3:uid="{9DB8825C-87FA-4083-9DE6-33B59F795E4F}" name="balloon_tau" dataDxfId="276">
      <calculatedColumnFormula>(U2-U$17)/U$19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97EFFDD9-6247-402C-AB46-14867C9F85D4}" name="Table7" displayName="Table7" ref="A48:J58" totalsRowShown="0">
  <autoFilter ref="A48:J58" xr:uid="{97EFFDD9-6247-402C-AB46-14867C9F85D4}"/>
  <tableColumns count="10">
    <tableColumn id="1" xr3:uid="{F4FBFAE2-9088-497A-9057-916DC5DB15D4}" name="final_evaluation_seed"/>
    <tableColumn id="2" xr3:uid="{C4B1F04F-8E5A-439A-932B-B7B90B770F92}" name="seed_a_e" dataDxfId="275">
      <calculatedColumnFormula>D2/B$44</calculatedColumnFormula>
    </tableColumn>
    <tableColumn id="3" xr3:uid="{DB9D53EB-8B03-4520-98A3-50420B8DDFEA}" name="seed_b_e" dataDxfId="274">
      <calculatedColumnFormula>E2/C$44</calculatedColumnFormula>
    </tableColumn>
    <tableColumn id="4" xr3:uid="{635855CC-4D50-4F2E-AD09-A74DD01A1ADD}" name="seed_d_e" dataDxfId="273">
      <calculatedColumnFormula>F2/D$44</calculatedColumnFormula>
    </tableColumn>
    <tableColumn id="5" xr3:uid="{F3709610-A526-40FE-B7D2-70F6B421C5CC}" name="seed_c_I_sst" dataDxfId="272">
      <calculatedColumnFormula>G2/E$44</calculatedColumnFormula>
    </tableColumn>
    <tableColumn id="6" xr3:uid="{F5B39384-6EB0-4288-80D9-908F2B12B79D}" name="seed_c_I_vip" dataDxfId="271">
      <calculatedColumnFormula>H2/F$44</calculatedColumnFormula>
    </tableColumn>
    <tableColumn id="7" xr3:uid="{66CDCA44-9C31-41A1-8C31-0B27E71C85A1}" name="seed_c_I_pv" dataDxfId="270">
      <calculatedColumnFormula>I2/G$44</calculatedColumnFormula>
    </tableColumn>
    <tableColumn id="8" xr3:uid="{23822275-B279-4D54-B818-6046B8F37F2F}" name="seed_r_0_sst" dataDxfId="269">
      <calculatedColumnFormula>J2/H$44</calculatedColumnFormula>
    </tableColumn>
    <tableColumn id="9" xr3:uid="{9BA3CF7B-6BE4-4514-9ED5-A9F04AE8D4D2}" name="seed_r_0_vip" dataDxfId="268">
      <calculatedColumnFormula>K2/I$44</calculatedColumnFormula>
    </tableColumn>
    <tableColumn id="10" xr3:uid="{9684379E-C620-49D0-9297-A073F778E9B6}" name="seed_r_0_pv" dataDxfId="267">
      <calculatedColumnFormula>L2/J$44</calculatedColumnFormula>
    </tableColumn>
  </tableColumns>
  <tableStyleInfo name="TableStyleMedium2" showFirstColumn="1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4DD75104-6774-4C8F-8B0B-A5E15769D0D0}" name="Table8" displayName="Table8" ref="A66:J76" totalsRowShown="0" headerRowDxfId="266" headerRowBorderDxfId="265" tableBorderDxfId="264">
  <autoFilter ref="A66:J76" xr:uid="{4DD75104-6774-4C8F-8B0B-A5E15769D0D0}"/>
  <tableColumns count="10">
    <tableColumn id="1" xr3:uid="{22FE01C1-7C04-4B98-B6C0-92DBAFAFCA56}" name="final_evaluation_seed" dataDxfId="263"/>
    <tableColumn id="2" xr3:uid="{1F95DED3-D749-4644-83B5-6B330DC0DC38}" name="seed_a_e" dataDxfId="262">
      <calculatedColumnFormula>LOG(B49,2)</calculatedColumnFormula>
    </tableColumn>
    <tableColumn id="3" xr3:uid="{02366814-CBD1-45A2-A259-363B4B6E520F}" name="seed_b_e" dataDxfId="261">
      <calculatedColumnFormula>LOG(C49,2)</calculatedColumnFormula>
    </tableColumn>
    <tableColumn id="4" xr3:uid="{E4CDF7FB-1C5B-46B8-9DD8-2D3797D90AC7}" name="seed_d_e" dataDxfId="260">
      <calculatedColumnFormula>LOG(D49,2)</calculatedColumnFormula>
    </tableColumn>
    <tableColumn id="5" xr3:uid="{453B0FFC-FD7C-44AA-9A50-64AD33D3319E}" name="seed_c_I_sst" dataDxfId="259">
      <calculatedColumnFormula>LOG(E49,2)</calculatedColumnFormula>
    </tableColumn>
    <tableColumn id="6" xr3:uid="{2263A195-7621-4E69-A20A-AD1DCB8039BA}" name="seed_c_I_vip" dataDxfId="258">
      <calculatedColumnFormula>LOG(F49,2)</calculatedColumnFormula>
    </tableColumn>
    <tableColumn id="7" xr3:uid="{5DD607AE-E111-47EF-827E-9F92EE37D88A}" name="seed_c_I_pv" dataDxfId="257">
      <calculatedColumnFormula>LOG(G49,2)</calculatedColumnFormula>
    </tableColumn>
    <tableColumn id="8" xr3:uid="{A1C02190-5F07-4816-9DB5-5A2CB3631EBA}" name="seed_r_0_sst" dataDxfId="256">
      <calculatedColumnFormula>LOG(H49,2)</calculatedColumnFormula>
    </tableColumn>
    <tableColumn id="9" xr3:uid="{81E30CEB-7912-4939-A4D4-2DF9452B08E1}" name="seed_r_0_vip" dataDxfId="255">
      <calculatedColumnFormula>LOG(I49,2)</calculatedColumnFormula>
    </tableColumn>
    <tableColumn id="10" xr3:uid="{CEDE804F-029D-4EC6-AF1F-7014BC8A9A11}" name="seed_r_0_pv" dataDxfId="254">
      <calculatedColumnFormula>LOG(J49,2)</calculatedColumnFormula>
    </tableColumn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6F7FBBF5-4735-475C-ACA0-5A23C14BF699}" name="Table12" displayName="Table12" ref="L48:V58" totalsRowShown="0">
  <autoFilter ref="L48:V58" xr:uid="{6F7FBBF5-4735-475C-ACA0-5A23C14BF699}"/>
  <tableColumns count="11">
    <tableColumn id="1" xr3:uid="{3F02BD34-270A-4822-956C-2DDCC5712605}" name="final_evaluation_seed"/>
    <tableColumn id="2" xr3:uid="{09E7F0DA-CA50-436D-BDB6-D809D0C3F061}" name="seed_a_e" dataDxfId="253"/>
    <tableColumn id="3" xr3:uid="{9BDD528B-BC4E-40FD-826B-CDC2F2A66851}" name="seed_b_e" dataDxfId="252"/>
    <tableColumn id="4" xr3:uid="{CFB644C0-8E98-46D0-A16E-A3B30D7558B4}" name="seed_d_e" dataDxfId="251"/>
    <tableColumn id="5" xr3:uid="{27BE3A49-7EE0-4BF5-A5EB-DAE368609638}" name="seed_c_I_sst" dataDxfId="250"/>
    <tableColumn id="6" xr3:uid="{C8DB1166-7992-4A7A-B711-AE1433816777}" name="seed_c_I_vip" dataDxfId="249"/>
    <tableColumn id="7" xr3:uid="{05B823EE-3D09-41A6-B630-4DA1158655E9}" name="seed_c_I_pv" dataDxfId="248"/>
    <tableColumn id="8" xr3:uid="{4442F8FB-038E-4A4D-A10D-AEBF4520DEAD}" name="seed_r_0_sst" dataDxfId="247"/>
    <tableColumn id="9" xr3:uid="{74B2E56A-A200-4799-BC74-E266EEFF9D93}" name="seed_r_0_vip" dataDxfId="246"/>
    <tableColumn id="10" xr3:uid="{6B158E59-D908-4B50-AB3A-F978257DD29D}" name="seed_r_0_pv" dataDxfId="245"/>
    <tableColumn id="11" xr3:uid="{DB51154D-A98B-4303-AAD5-5ACAD0949DF1}" name="best_difference_vector_cosine" dataDxfId="244"/>
  </tableColumns>
  <tableStyleInfo name="TableStyleMedium2" showFirstColumn="1" showLastColumn="1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E28C8B6A-1FB1-4F51-B313-972AE5E332CA}" name="Table814" displayName="Table814" ref="L66:V76" totalsRowShown="0" headerRowDxfId="243" headerRowBorderDxfId="242" tableBorderDxfId="241">
  <autoFilter ref="L66:V76" xr:uid="{E28C8B6A-1FB1-4F51-B313-972AE5E332CA}"/>
  <tableColumns count="11">
    <tableColumn id="1" xr3:uid="{015AC9AA-0FB9-4151-943F-AE82B49C07F8}" name="final_evaluation_seed" dataDxfId="240"/>
    <tableColumn id="2" xr3:uid="{4D0C05EB-6A2A-402F-B9D2-AE471D304861}" name="seed_a_e" dataDxfId="239">
      <calculatedColumnFormula>LOG(M49,2)</calculatedColumnFormula>
    </tableColumn>
    <tableColumn id="3" xr3:uid="{F818FC1A-0CB6-49D2-8323-1F1D5C351685}" name="seed_b_e" dataDxfId="238">
      <calculatedColumnFormula>LOG(N49,2)</calculatedColumnFormula>
    </tableColumn>
    <tableColumn id="4" xr3:uid="{B0B1392D-8E4E-4B92-ADDA-58CB1F8768B7}" name="seed_d_e" dataDxfId="237">
      <calculatedColumnFormula>LOG(O49,2)</calculatedColumnFormula>
    </tableColumn>
    <tableColumn id="5" xr3:uid="{18A2346B-DA04-4C32-96E8-691120F0AEE1}" name="seed_c_I_sst" dataDxfId="236">
      <calculatedColumnFormula>LOG(P49,2)</calculatedColumnFormula>
    </tableColumn>
    <tableColumn id="6" xr3:uid="{827A23AF-D7EF-418C-AE96-E3529E1D74E4}" name="seed_c_I_vip" dataDxfId="235">
      <calculatedColumnFormula>LOG(Q49,2)</calculatedColumnFormula>
    </tableColumn>
    <tableColumn id="7" xr3:uid="{BB03EA5B-E58C-4978-B947-C4DA9B31F4E8}" name="seed_c_I_pv" dataDxfId="234">
      <calculatedColumnFormula>LOG(R49,2)</calculatedColumnFormula>
    </tableColumn>
    <tableColumn id="8" xr3:uid="{325C3F8D-426F-49E2-B239-2A986C13BAB3}" name="seed_r_0_sst" dataDxfId="233">
      <calculatedColumnFormula>LOG(S49,2)</calculatedColumnFormula>
    </tableColumn>
    <tableColumn id="9" xr3:uid="{1C9D470D-52B6-46AE-908F-9C78B731AE73}" name="seed_r_0_vip" dataDxfId="232">
      <calculatedColumnFormula>LOG(T49,2)</calculatedColumnFormula>
    </tableColumn>
    <tableColumn id="10" xr3:uid="{DE930B3E-6CEC-41DC-B7DA-9D377C1E0493}" name="seed_r_0_pv" dataDxfId="231">
      <calculatedColumnFormula>LOG(U49,2)</calculatedColumnFormula>
    </tableColumn>
    <tableColumn id="11" xr3:uid="{D022E080-9A73-4747-BE95-197C6EEE0D66}" name="best_difference_vector_cosine" dataDxfId="230"/>
  </tableColumns>
  <tableStyleInfo name="TableStyleMedium2" showFirstColumn="0" showLastColumn="1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FCD4B681-E473-42B6-B040-F1403AF7C04D}" name="Table14" displayName="Table14" ref="Y48:AA58" totalsRowShown="0">
  <autoFilter ref="Y48:AA58" xr:uid="{FCD4B681-E473-42B6-B040-F1403AF7C04D}"/>
  <tableColumns count="3">
    <tableColumn id="1" xr3:uid="{B6D16439-85A8-46E4-881D-A7A8D9208144}" name="Stim" dataDxfId="229"/>
    <tableColumn id="2" xr3:uid="{83CB5D98-7946-4391-84D7-7BB717F5267A}" name="Auto" dataDxfId="228"/>
    <tableColumn id="3" xr3:uid="{500C6F3D-55AA-463E-B538-D91D98F88DB6}" name="BOLD" dataDxfId="227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FABE131E-5586-4370-9F71-DB03F4015F5E}" name="Table1210" displayName="Table1210" ref="A109:K119" totalsRowShown="0">
  <autoFilter ref="A109:K119" xr:uid="{FABE131E-5586-4370-9F71-DB03F4015F5E}"/>
  <sortState xmlns:xlrd2="http://schemas.microsoft.com/office/spreadsheetml/2017/richdata2" ref="A110:K119">
    <sortCondition descending="1" ref="K109:K119"/>
  </sortState>
  <tableColumns count="11">
    <tableColumn id="1" xr3:uid="{45778312-C73E-4142-8D98-09B51AD29C97}" name="final_evaluation_seed"/>
    <tableColumn id="2" xr3:uid="{8543C9FA-310D-4D2C-86DA-D352F099E3F2}" name="seed_a_e" dataDxfId="226"/>
    <tableColumn id="3" xr3:uid="{A7FD3580-474A-4405-9EAD-B93EA4A32AE6}" name="seed_b_e" dataDxfId="225"/>
    <tableColumn id="4" xr3:uid="{EA684B5D-99C1-4A32-A3EC-30564128701B}" name="seed_d_e" dataDxfId="224"/>
    <tableColumn id="5" xr3:uid="{32AD5A85-3748-4639-BC0B-99FFC16F408E}" name="seed_c_I_sst" dataDxfId="223"/>
    <tableColumn id="6" xr3:uid="{19BA603B-63D9-46B3-90DF-7402BEFDD3A8}" name="seed_c_I_vip" dataDxfId="222"/>
    <tableColumn id="7" xr3:uid="{33433CFB-03AD-4FC5-88CB-005F669B11B5}" name="seed_c_I_pv" dataDxfId="221"/>
    <tableColumn id="8" xr3:uid="{862DAC63-1554-4142-A5BA-F391ED3DF0AE}" name="seed_r_0_sst" dataDxfId="220"/>
    <tableColumn id="9" xr3:uid="{832CB555-1A44-4984-BE42-8B801C12E557}" name="seed_r_0_vip" dataDxfId="219"/>
    <tableColumn id="10" xr3:uid="{2CBB8CD2-430A-496B-BE9B-986ADFAF0244}" name="seed_r_0_pv" dataDxfId="218"/>
    <tableColumn id="11" xr3:uid="{E6F34906-FD08-40A7-A514-2C610EBB0315}" name="best_difference_vector_cosine" dataDxfId="217"/>
  </tableColumns>
  <tableStyleInfo name="TableStyleMedium2" showFirstColumn="1" showLastColumn="1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47408CFF-1559-4407-86A0-0A65C58408F0}" name="Table6" displayName="Table6" ref="A92:F102" totalsRowShown="0" headerRowDxfId="216" dataDxfId="214" headerRowBorderDxfId="215" tableBorderDxfId="213">
  <autoFilter ref="A92:F102" xr:uid="{47408CFF-1559-4407-86A0-0A65C58408F0}"/>
  <sortState xmlns:xlrd2="http://schemas.microsoft.com/office/spreadsheetml/2017/richdata2" ref="A93:F102">
    <sortCondition descending="1" ref="B92:B102"/>
  </sortState>
  <tableColumns count="6">
    <tableColumn id="1" xr3:uid="{2A379670-8DD1-40F7-88F4-838C6A0F14A8}" name="final_evaluation_seed" dataDxfId="212"/>
    <tableColumn id="2" xr3:uid="{94C026B0-B434-4C68-B386-9A2D7873AFB7}" name="best_pearson_r" dataDxfId="211"/>
    <tableColumn id="3" xr3:uid="{47BF99FD-8002-4CE1-AF82-352FCFBC3B21}" name="best_difference_vector_cosine" dataDxfId="210"/>
    <tableColumn id="4" xr3:uid="{8584DC60-8470-4406-BC16-AFFFE16FF642}" name="stimulus" dataDxfId="209"/>
    <tableColumn id="5" xr3:uid="{3F2FA6AF-7F1A-4150-B794-704F2B1ED811}" name="Auto" dataDxfId="208"/>
    <tableColumn id="6" xr3:uid="{A60217A7-8F2D-4DD0-96DC-08129C1F48E5}" name="BOLD" dataDxfId="207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07160D78-02CC-4497-9D7E-AC26AEF33878}" name="Table17" displayName="Table17" ref="A1:N11" totalsRowShown="0" headerRowDxfId="206" dataDxfId="204" headerRowBorderDxfId="205" tableBorderDxfId="203">
  <autoFilter ref="A1:N11" xr:uid="{07160D78-02CC-4497-9D7E-AC26AEF33878}"/>
  <tableColumns count="14">
    <tableColumn id="1" xr3:uid="{946C78F0-5ED6-4C82-B486-0A2D01401586}" name="final_evaluation_seed" dataDxfId="202"/>
    <tableColumn id="2" xr3:uid="{F6F73ED1-AC25-4A5B-AA43-B4420270A65B}" name="best_pearson_r" dataDxfId="201"/>
    <tableColumn id="3" xr3:uid="{9D33DA5E-9FA5-4B81-8347-66FB3F9D278F}" name="I_background_e" dataDxfId="200"/>
    <tableColumn id="4" xr3:uid="{045CBE2B-CC02-4815-AFDF-FD55F14A5948}" name="I_background_i" dataDxfId="199"/>
    <tableColumn id="5" xr3:uid="{DD07A8E1-0F8D-4F93-9FFC-80537E7DA893}" name="I_background_dend" dataDxfId="198"/>
    <tableColumn id="6" xr3:uid="{F002D97C-F001-4AAB-86C7-02AFD658391E}" name="mu_ee" dataDxfId="197"/>
    <tableColumn id="7" xr3:uid="{6A9A90F5-365B-424C-8DFB-AC07BB4F58AB}" name="mu_ie" dataDxfId="196"/>
    <tableColumn id="8" xr3:uid="{3C77AB83-9D42-417E-973A-786B92AD8D39}" name="e_grad_min" dataDxfId="195"/>
    <tableColumn id="9" xr3:uid="{202C73E4-ED7F-44C3-8FE0-67B8DEC3AF51}" name="balloon_kappa" dataDxfId="194"/>
    <tableColumn id="10" xr3:uid="{39BA6440-2759-406C-962E-1F482C31D9D8}" name="balloon_gamma" dataDxfId="193"/>
    <tableColumn id="11" xr3:uid="{71495690-5E12-40F8-8FB8-D35062B95476}" name="balloon_tau" dataDxfId="192"/>
    <tableColumn id="12" xr3:uid="{D2BEB5FD-80DF-4E80-AD46-55385CB1B6FF}" name="Stim" dataDxfId="191"/>
    <tableColumn id="13" xr3:uid="{7A8508B0-FDAF-4D41-8BA2-B789691A3BE1}" name="Auto" dataDxfId="190"/>
    <tableColumn id="14" xr3:uid="{42D86400-C902-4CEB-A96A-D8CE8C7A5EE0}" name="BOLD" dataDxfId="189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AA8468E-35CF-47CB-BBB1-E82D79B508B4}" name="Table112" displayName="Table112" ref="A1:O11" totalsRowShown="0" headerRowDxfId="188" dataDxfId="186" headerRowBorderDxfId="187" tableBorderDxfId="185">
  <autoFilter ref="A1:O11" xr:uid="{0AA8468E-35CF-47CB-BBB1-E82D79B508B4}"/>
  <tableColumns count="15">
    <tableColumn id="1" xr3:uid="{5A2518A5-0C39-4BE0-8539-9F65123ED022}" name="seed" dataDxfId="184"/>
    <tableColumn id="2" xr3:uid="{DECF84D9-CAF5-47BD-A6E4-D268671B8AF0}" name="r" dataDxfId="183"/>
    <tableColumn id="3" xr3:uid="{DFB8AAA2-2333-48A2-BBEC-5BC4763C536A}" name="I_background_e" dataDxfId="182"/>
    <tableColumn id="4" xr3:uid="{A0403004-5B3F-4971-82E7-C3DD9CC768BC}" name="I_background_i" dataDxfId="181"/>
    <tableColumn id="5" xr3:uid="{55645ADB-2DE6-4470-8D97-7BD3E8A2072B}" name="I_background_dend" dataDxfId="180"/>
    <tableColumn id="6" xr3:uid="{DE4F9698-73B0-45AE-98CB-18EC17C1E5C7}" name="mu_ee" dataDxfId="179"/>
    <tableColumn id="7" xr3:uid="{2D122CFB-25EF-479D-9614-B53C87A158B9}" name="mu_ie" dataDxfId="178"/>
    <tableColumn id="8" xr3:uid="{57738AAA-F1FC-4531-8EF7-1E8364CA800A}" name="e_grad_min" dataDxfId="177"/>
    <tableColumn id="9" xr3:uid="{6825AB37-C2BD-44BF-B0E4-270EE0FB0A7E}" name="balloon_kappa" dataDxfId="176"/>
    <tableColumn id="10" xr3:uid="{C1515A5A-0566-48B8-B6A6-70B8E1EAD853}" name="balloon_gamma" dataDxfId="175"/>
    <tableColumn id="11" xr3:uid="{B90DC991-DB68-4B30-A5C5-B61FEB53097C}" name="balloon_tau" dataDxfId="174"/>
    <tableColumn id="12" xr3:uid="{0D0F6034-D566-4618-AEC8-3275BFF2F760}" name="Stim" dataDxfId="173"/>
    <tableColumn id="13" xr3:uid="{C91D58C0-382F-4FF3-8460-220BACFC2671}" name="Auto" dataDxfId="172"/>
    <tableColumn id="14" xr3:uid="{E8779799-2FBC-4C3A-A217-D9C280212DC4}" name="BOLD" dataDxfId="171"/>
    <tableColumn id="15" xr3:uid="{7671ADD5-87B4-43C4-A4D2-AEFEA0DFC960}" name="cosine" dataDxfId="170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965AD62-A08E-4EEF-9030-458864B7316B}" name="Table2" displayName="Table2" ref="A1:D41" totalsRowShown="0">
  <autoFilter ref="A1:D41" xr:uid="{F965AD62-A08E-4EEF-9030-458864B7316B}"/>
  <tableColumns count="4">
    <tableColumn id="1" xr3:uid="{8A0C4E8E-A596-48D3-B297-BB68B21CAC16}" name="area_name"/>
    <tableColumn id="2" xr3:uid="{F4144060-69C2-4733-B799-EDE14A46E4BB}" name="model_seed_fc_z"/>
    <tableColumn id="3" xr3:uid="{3C3DC94F-FDC6-43D4-9DDD-519EE4B2C88D}" name="target_seed_fc_z"/>
    <tableColumn id="4" xr3:uid="{94C77507-9E71-479D-90D0-6DBE12C7CB78}" name="difference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3BC65FE-52EE-498D-924D-E681633D1E4B}" name="Table1" displayName="Table1" ref="C4:M14" totalsRowShown="0" headerRowDxfId="169" dataDxfId="167" headerRowBorderDxfId="168" tableBorderDxfId="166">
  <autoFilter ref="C4:M14" xr:uid="{93BC65FE-52EE-498D-924D-E681633D1E4B}"/>
  <tableColumns count="11">
    <tableColumn id="1" xr3:uid="{87805D45-55EC-4CC4-8B30-E06DA4E7E751}" name="final_evaluation_seed" dataDxfId="165"/>
    <tableColumn id="2" xr3:uid="{79824F93-C2A5-45B6-9B69-441998802D80}" name="best_pearson_r" dataDxfId="164"/>
    <tableColumn id="3" xr3:uid="{7EAF5609-B791-402E-8A39-55B740926D2B}" name="I_background_e" dataDxfId="163"/>
    <tableColumn id="4" xr3:uid="{5EE101D7-0D41-494A-805A-94CFC73331CF}" name="I_background_i" dataDxfId="162"/>
    <tableColumn id="5" xr3:uid="{2CCF00EF-4BDB-4EB6-A318-9502957678DF}" name="I_background_dend" dataDxfId="161"/>
    <tableColumn id="6" xr3:uid="{F5AB52A3-CD6E-43D7-A21D-129262695C38}" name="mu_ee" dataDxfId="160"/>
    <tableColumn id="7" xr3:uid="{778CC36A-8D50-4F01-8B3E-FCAED3521F9B}" name="mu_ie" dataDxfId="159"/>
    <tableColumn id="8" xr3:uid="{A7B4CCC7-3054-4367-9B57-4F9D70B71AE8}" name="e_grad_min" dataDxfId="158"/>
    <tableColumn id="9" xr3:uid="{6C33EE26-7CA7-4527-87D8-E28DD20FFD4E}" name="balloon_kappa" dataDxfId="157"/>
    <tableColumn id="10" xr3:uid="{DBBC495E-05F7-4608-AD56-F33F1FD9FB2E}" name="balloon_gamma" dataDxfId="156"/>
    <tableColumn id="11" xr3:uid="{D7DB4319-ACF4-4A69-B4F4-EBD25833DB72}" name="balloon_tau" dataDxfId="155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F317B012-7B9A-4E8A-93F6-841923811227}" name="Table1411" displayName="Table1411" ref="T21:V31" totalsRowShown="0">
  <autoFilter ref="T21:V31" xr:uid="{F317B012-7B9A-4E8A-93F6-841923811227}"/>
  <tableColumns count="3">
    <tableColumn id="1" xr3:uid="{2EE0C1C9-847E-49D1-B328-3A3EED7F56C1}" name="Stim" dataDxfId="154"/>
    <tableColumn id="2" xr3:uid="{865FC042-E96D-4C4D-B1EA-4B7C3183DA79}" name="Auto" dataDxfId="153"/>
    <tableColumn id="3" xr3:uid="{D9EC8ABD-24A2-4068-9CAB-09D34D97FE88}" name="BOLD" dataDxfId="152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2B1EA398-6077-43CD-8151-400DF211F33C}" name="Table1820" displayName="Table1820" ref="A1:U11" totalsRowShown="0">
  <autoFilter ref="A1:U11" xr:uid="{2B1EA398-6077-43CD-8151-400DF211F33C}"/>
  <tableColumns count="21">
    <tableColumn id="1" xr3:uid="{DFDC78A7-E47E-494D-9C61-107C2DD6F0AD}" name="final_evaluation_seed"/>
    <tableColumn id="2" xr3:uid="{E6238561-586D-4726-BEAC-8D7C182F1ECE}" name="best_pearson_r" dataDxfId="151"/>
    <tableColumn id="3" xr3:uid="{00BD204A-1182-4612-A32A-03FAAAD1C5B3}" name="best_difference_vector_r" dataDxfId="150"/>
    <tableColumn id="4" xr3:uid="{EA4F656D-3132-4F0F-90EB-703FEFD588E3}" name="seed_a_e" dataDxfId="149"/>
    <tableColumn id="5" xr3:uid="{2119A095-4FE6-40A2-BB73-772A4DBC0853}" name="seed_b_e" dataDxfId="148"/>
    <tableColumn id="6" xr3:uid="{43B41629-39C8-4499-96ED-D757A61D611E}" name="seed_d_e" dataDxfId="147"/>
    <tableColumn id="7" xr3:uid="{38B71045-B36F-4D69-907D-F3535FE6FAC7}" name="seed_c_I_sst" dataDxfId="146"/>
    <tableColumn id="8" xr3:uid="{3B6EBF4F-F34C-44BC-A921-2C293371AFF9}" name="seed_c_I_vip" dataDxfId="145"/>
    <tableColumn id="9" xr3:uid="{CE4D64C6-BC0F-45E5-BCA1-0F3DD9D0F6BB}" name="seed_c_I_pv" dataDxfId="144"/>
    <tableColumn id="10" xr3:uid="{A85130F6-49C1-4A18-82C6-0F9062ADA2E3}" name="seed_r_0_sst" dataDxfId="143"/>
    <tableColumn id="11" xr3:uid="{9A75ADE8-D030-4790-AEA1-1C6238B966A2}" name="seed_r_0_vip" dataDxfId="142"/>
    <tableColumn id="12" xr3:uid="{FFF57A59-AE10-4D44-81FB-52C5CBCFEC25}" name="seed_r_0_pv" dataDxfId="141"/>
    <tableColumn id="13" xr3:uid="{6D48A2DF-2920-4376-A540-3067A2DBBF7B}" name="I_background_e" dataDxfId="140"/>
    <tableColumn id="14" xr3:uid="{C0D2BFAA-4FDB-49F3-A3D6-4B86953BBAF1}" name="I_background_i" dataDxfId="139"/>
    <tableColumn id="15" xr3:uid="{B4080DB5-B404-4E2F-AA52-5F60D4B8F71E}" name="I_background_dend" dataDxfId="138"/>
    <tableColumn id="16" xr3:uid="{78855599-A588-4661-8E05-CC2213BB031B}" name="mu_ee" dataDxfId="137"/>
    <tableColumn id="17" xr3:uid="{2B08E395-BD03-4337-B69F-505205876C59}" name="mu_ie" dataDxfId="136"/>
    <tableColumn id="18" xr3:uid="{17EE54A1-EF0E-4B12-B040-DE29E5B25B0E}" name="e_grad_min" dataDxfId="135"/>
    <tableColumn id="19" xr3:uid="{1291F550-B65C-4783-B993-83CF16A2575B}" name="balloon_kappa" dataDxfId="134"/>
    <tableColumn id="20" xr3:uid="{9534CA96-35D8-4100-8608-98B62DE50899}" name="balloon_gamma" dataDxfId="133"/>
    <tableColumn id="21" xr3:uid="{E372A247-0964-467C-9715-0710A4B32F4D}" name="balloon_tau" dataDxfId="132"/>
  </tableColumns>
  <tableStyleInfo name="TableStyleMedium2" showFirstColumn="1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C5F27522-66E5-4CAD-A776-48231BCC5378}" name="Table20" displayName="Table20" ref="A22:U32" headerRowDxfId="131" headerRowBorderDxfId="130" tableBorderDxfId="129">
  <autoFilter ref="A22:U32" xr:uid="{C5F27522-66E5-4CAD-A776-48231BCC5378}"/>
  <tableColumns count="21">
    <tableColumn id="1" xr3:uid="{C0E199AB-EA77-41D7-B34F-40752CC13826}" name="final_evaluation_seed" totalsRowLabel="Total" dataDxfId="128" totalsRowDxfId="127"/>
    <tableColumn id="2" xr3:uid="{20EC2763-260E-4D89-9E2E-C3FA0D892A31}" name="best_pearson_r" dataDxfId="126">
      <calculatedColumnFormula>(B2-B$17)/B$19</calculatedColumnFormula>
    </tableColumn>
    <tableColumn id="3" xr3:uid="{0D799710-AB04-42CE-B929-4C269ACD8A9D}" name="best_difference_vector_r" dataDxfId="125">
      <calculatedColumnFormula>(C2-C$17)/C$19</calculatedColumnFormula>
    </tableColumn>
    <tableColumn id="4" xr3:uid="{F05464EF-6EB0-4999-B612-060599124E20}" name="seed_a_e" dataDxfId="124">
      <calculatedColumnFormula>(D2-D$17)/D$19</calculatedColumnFormula>
    </tableColumn>
    <tableColumn id="5" xr3:uid="{6A36B8C8-D20E-400B-B1AB-3BE5CFE22404}" name="seed_b_e" dataDxfId="123">
      <calculatedColumnFormula>(E2-E$17)/E$19</calculatedColumnFormula>
    </tableColumn>
    <tableColumn id="6" xr3:uid="{356296AE-61EA-4910-8552-372F0CBA58E9}" name="seed_d_e" dataDxfId="122">
      <calculatedColumnFormula>(F2-F$17)/F$19</calculatedColumnFormula>
    </tableColumn>
    <tableColumn id="7" xr3:uid="{D0072FDE-5ED8-442B-933C-60DA405E2140}" name="seed_c_I_sst" dataDxfId="121">
      <calculatedColumnFormula>(G2-G$17)/G$19</calculatedColumnFormula>
    </tableColumn>
    <tableColumn id="8" xr3:uid="{475FCB14-17C7-4600-B64D-5305708129D1}" name="seed_c_I_vip" dataDxfId="120">
      <calculatedColumnFormula>(H2-H$17)/H$19</calculatedColumnFormula>
    </tableColumn>
    <tableColumn id="9" xr3:uid="{8DA305B1-1787-401A-B635-8F01C968940C}" name="seed_c_I_pv" dataDxfId="119">
      <calculatedColumnFormula>(I2-I$17)/I$19</calculatedColumnFormula>
    </tableColumn>
    <tableColumn id="10" xr3:uid="{99EA0776-03DD-4283-B952-50843E63108A}" name="seed_r_0_sst" dataDxfId="118">
      <calculatedColumnFormula>(J2-J$17)/J$19</calculatedColumnFormula>
    </tableColumn>
    <tableColumn id="11" xr3:uid="{596CBE18-5967-4CFC-AA04-B3256D9A29AE}" name="seed_r_0_vip" dataDxfId="117">
      <calculatedColumnFormula>(K2-K$17)/K$19</calculatedColumnFormula>
    </tableColumn>
    <tableColumn id="12" xr3:uid="{15973661-29DE-45D9-A75F-FBC44DAB6149}" name="seed_r_0_pv" dataDxfId="116">
      <calculatedColumnFormula>(L2-L$17)/L$19</calculatedColumnFormula>
    </tableColumn>
    <tableColumn id="13" xr3:uid="{BDACEA53-7DD5-4051-832A-6BC449BBA433}" name="I_background_e" dataDxfId="115">
      <calculatedColumnFormula>(M2-M$17)/M$19</calculatedColumnFormula>
    </tableColumn>
    <tableColumn id="14" xr3:uid="{A6D1142E-BEFE-4668-AD5D-57A8C34BD2E2}" name="I_background_i" dataDxfId="114">
      <calculatedColumnFormula>(N2-N$17)/N$19</calculatedColumnFormula>
    </tableColumn>
    <tableColumn id="15" xr3:uid="{76F216FA-5560-4A83-BC12-2190B72144A4}" name="I_background_dend" dataDxfId="113">
      <calculatedColumnFormula>(O2-O$17)/O$19</calculatedColumnFormula>
    </tableColumn>
    <tableColumn id="16" xr3:uid="{923534A9-34A7-400B-A7BA-C6B6D7656ABA}" name="mu_ee" dataDxfId="112">
      <calculatedColumnFormula>(P2-P$17)/P$19</calculatedColumnFormula>
    </tableColumn>
    <tableColumn id="17" xr3:uid="{14F13ADA-964F-486F-B481-4F4D9AC0ACA5}" name="mu_ie" dataDxfId="111">
      <calculatedColumnFormula>(Q2-Q$17)/Q$19</calculatedColumnFormula>
    </tableColumn>
    <tableColumn id="18" xr3:uid="{D985AF65-3489-4235-9BDC-572AAD6BF24C}" name="e_grad_min" dataDxfId="110">
      <calculatedColumnFormula>(R2-R$17)/R$19</calculatedColumnFormula>
    </tableColumn>
    <tableColumn id="19" xr3:uid="{DAED7033-C306-4AC0-B10A-9492EB5E8A31}" name="balloon_kappa" dataDxfId="109">
      <calculatedColumnFormula>(S2-S$17)/S$19</calculatedColumnFormula>
    </tableColumn>
    <tableColumn id="20" xr3:uid="{613B4BFB-F236-443F-9EA3-703B180B954F}" name="balloon_gamma" dataDxfId="108">
      <calculatedColumnFormula>(T2-T$17)/T$19</calculatedColumnFormula>
    </tableColumn>
    <tableColumn id="21" xr3:uid="{CF78233D-9905-4DA4-AFAF-D8810740788C}" name="balloon_tau" totalsRowFunction="sum" dataDxfId="107" totalsRowDxfId="106">
      <calculatedColumnFormula>(U2-U$17)/U$19</calculatedColumnFormula>
    </tableColumn>
  </tableColumns>
  <tableStyleInfo name="TableStyleMedium2" showFirstColumn="1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" xr:uid="{130CC90B-5DA4-47B5-B97F-6E46FE6E2C86}" name="Table32" displayName="Table32" ref="A77:C87" headerRowDxfId="105" dataDxfId="103" headerRowBorderDxfId="104" tableBorderDxfId="102" totalsRowBorderDxfId="101">
  <autoFilter ref="A77:C87" xr:uid="{130CC90B-5DA4-47B5-B97F-6E46FE6E2C86}"/>
  <tableColumns count="3">
    <tableColumn id="1" xr3:uid="{BEB68755-0D3D-4EA9-B92D-8D870499889A}" name="final_evaluation_seed" totalsRowLabel="Total" dataDxfId="100" totalsRowDxfId="99"/>
    <tableColumn id="2" xr3:uid="{B0E0C2F8-C260-45D8-B0C8-12C373D2ED7F}" name="best_pearson_r" dataDxfId="98" totalsRowDxfId="97"/>
    <tableColumn id="3" xr3:uid="{D45076E7-DC49-4261-BA00-8A6F2AA8ED28}" name="best_difference_vector_r" totalsRowFunction="sum" dataDxfId="96" totalsRowDxfId="95"/>
  </tableColumns>
  <tableStyleInfo name="TableStyleMedium2" showFirstColumn="1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3" xr:uid="{B7EBF3CF-8121-445C-934B-7BA8EAFCB35B}" name="Table33" displayName="Table33" ref="F77:I87" totalsRowShown="0" headerRowDxfId="94" headerRowBorderDxfId="93" tableBorderDxfId="92">
  <autoFilter ref="F77:I87" xr:uid="{B7EBF3CF-8121-445C-934B-7BA8EAFCB35B}"/>
  <tableColumns count="4">
    <tableColumn id="1" xr3:uid="{F3D81A77-240B-4341-A370-982BCE706467}" name="final_evaluation_seed" dataDxfId="91"/>
    <tableColumn id="2" xr3:uid="{E1544024-0896-43F4-A452-7D342C70FD6A}" name="best_pearson_r" dataDxfId="90">
      <calculatedColumnFormula>Table32[[#This Row],[best_pearson_r]]^2</calculatedColumnFormula>
    </tableColumn>
    <tableColumn id="3" xr3:uid="{484759CA-AF62-4630-AB69-8BE04FFD0378}" name="best_difference_vector_r" dataDxfId="89">
      <calculatedColumnFormula>Table32[[#This Row],[best_difference_vector_r]]^2</calculatedColumnFormula>
    </tableColumn>
    <tableColumn id="4" xr3:uid="{71A368F7-FF59-4C82-BF74-F9DB068563C0}" name="sum of R^2" dataDxfId="88">
      <calculatedColumnFormula>Table33[[#This Row],[best_pearson_r]]+Table33[[#This Row],[best_difference_vector_r]]</calculatedColumnFormula>
    </tableColumn>
  </tableColumns>
  <tableStyleInfo name="TableStyleMedium2" showFirstColumn="0" showLastColumn="1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55512B5A-5AD6-42A4-A605-60934FF0F564}" name="Table23" displayName="Table23" ref="A50:L60" totalsRowShown="0" headerRowDxfId="87" headerRowBorderDxfId="86" tableBorderDxfId="85">
  <autoFilter ref="A50:L60" xr:uid="{55512B5A-5AD6-42A4-A605-60934FF0F564}"/>
  <tableColumns count="12">
    <tableColumn id="1" xr3:uid="{0EF454CB-83C9-4D43-892C-22B0D4354130}" name="Column1" dataDxfId="84"/>
    <tableColumn id="2" xr3:uid="{278B6A16-7B9A-44D4-9B79-3E3C3C9AADB3}" name="seed_a_e" dataDxfId="83">
      <calculatedColumnFormula>D2/B$46</calculatedColumnFormula>
    </tableColumn>
    <tableColumn id="3" xr3:uid="{19814F94-E875-4959-AFE5-7848DB2FC6EC}" name="seed_b_e">
      <calculatedColumnFormula>E2/C$46</calculatedColumnFormula>
    </tableColumn>
    <tableColumn id="4" xr3:uid="{26273488-98FC-463E-B6A5-5DFE62C616FE}" name="seed_d_e">
      <calculatedColumnFormula>F2/D$46</calculatedColumnFormula>
    </tableColumn>
    <tableColumn id="5" xr3:uid="{46DC52AF-1B56-4371-BA56-6F8CBC3657BF}" name="seed_c_I_sst">
      <calculatedColumnFormula>G2/E$46</calculatedColumnFormula>
    </tableColumn>
    <tableColumn id="6" xr3:uid="{F009B964-AC29-4E8E-A4AA-F5960F21DDB1}" name="seed_c_I_vip">
      <calculatedColumnFormula>H2/F$46</calculatedColumnFormula>
    </tableColumn>
    <tableColumn id="7" xr3:uid="{AA077223-D4C5-4A3D-BBCB-DD0D5E88B1D0}" name="seed_c_I_pv">
      <calculatedColumnFormula>I2/G$46</calculatedColumnFormula>
    </tableColumn>
    <tableColumn id="8" xr3:uid="{3688962E-091B-46FB-863C-1C6868F0EC3B}" name="seed_r_0_sst">
      <calculatedColumnFormula>J2/H$46</calculatedColumnFormula>
    </tableColumn>
    <tableColumn id="9" xr3:uid="{CA79D955-E6B5-4BBE-AC6B-1F5A648DBD97}" name="seed_r_0_vip">
      <calculatedColumnFormula>K2/I$46</calculatedColumnFormula>
    </tableColumn>
    <tableColumn id="10" xr3:uid="{40D401B7-4651-43DA-A526-6D0D5CEB229D}" name="seed_r_0_pv">
      <calculatedColumnFormula>L2/J$46</calculatedColumnFormula>
    </tableColumn>
    <tableColumn id="11" xr3:uid="{E64D061D-0CFC-4D4D-BEB3-3CFA3EC77FEC}" name="best_pearson_r" dataDxfId="82"/>
    <tableColumn id="12" xr3:uid="{B7C266CC-9B34-4746-886C-22843A98BDBD}" name="best_difference_vector_r" dataDxfId="81"/>
  </tableColumns>
  <tableStyleInfo name="TableStyleMedium2" showFirstColumn="1" showLastColumn="1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7D09C930-E854-4E6C-82B9-35C9655B8B61}" name="Table26" displayName="Table26" ref="N50:Y60" totalsRowShown="0">
  <autoFilter ref="N50:Y60" xr:uid="{7D09C930-E854-4E6C-82B9-35C9655B8B61}"/>
  <tableColumns count="12">
    <tableColumn id="1" xr3:uid="{016F4276-D961-4FD1-B77D-67CC688C159B}" name="final_evaluation_seed"/>
    <tableColumn id="2" xr3:uid="{4C873845-2678-47CC-A73A-84DFB574AD5C}" name="seed_a_e" dataDxfId="80">
      <calculatedColumnFormula>Table23[[#This Row],[seed_a_e]]</calculatedColumnFormula>
    </tableColumn>
    <tableColumn id="3" xr3:uid="{9FB2A1BD-0F7E-41E8-AC5A-2FAE7768370C}" name="seed_b_e" dataDxfId="79">
      <calculatedColumnFormula>Table23[[#This Row],[seed_b_e]]</calculatedColumnFormula>
    </tableColumn>
    <tableColumn id="4" xr3:uid="{9ED76BBE-98BF-4E28-B5A7-4A6BEF2388C4}" name="seed_d_e" dataDxfId="78">
      <calculatedColumnFormula>Table23[[#This Row],[seed_d_e]]</calculatedColumnFormula>
    </tableColumn>
    <tableColumn id="5" xr3:uid="{C94EA546-E3E3-4B2B-90CB-D159F27375DF}" name="seed_c_I_sst" dataDxfId="77">
      <calculatedColumnFormula>Table23[[#This Row],[seed_c_I_sst]]</calculatedColumnFormula>
    </tableColumn>
    <tableColumn id="6" xr3:uid="{0568E36A-ED4B-42AA-AA46-663A3BBEC902}" name="seed_c_I_vip" dataDxfId="76">
      <calculatedColumnFormula>Table23[[#This Row],[seed_c_I_vip]]</calculatedColumnFormula>
    </tableColumn>
    <tableColumn id="7" xr3:uid="{2D78BB87-D5C8-41D2-B184-ED1CD1165E46}" name="seed_c_I_pv" dataDxfId="75">
      <calculatedColumnFormula>Table23[[#This Row],[seed_c_I_pv]]</calculatedColumnFormula>
    </tableColumn>
    <tableColumn id="8" xr3:uid="{1D853EFF-C894-4D9C-97F1-C40D40F08585}" name="seed_r_0_sst" dataDxfId="74">
      <calculatedColumnFormula>Table23[[#This Row],[seed_r_0_sst]]</calculatedColumnFormula>
    </tableColumn>
    <tableColumn id="9" xr3:uid="{87A5087C-01D3-45B6-A5DF-EE0E483DA5C6}" name="seed_r_0_vip" dataDxfId="73">
      <calculatedColumnFormula>Table23[[#This Row],[seed_r_0_vip]]</calculatedColumnFormula>
    </tableColumn>
    <tableColumn id="10" xr3:uid="{1D9B3506-F84A-43D4-BD42-C8C62A953A9B}" name="seed_r_0_pv" dataDxfId="72">
      <calculatedColumnFormula>Table23[[#This Row],[seed_r_0_pv]]</calculatedColumnFormula>
    </tableColumn>
    <tableColumn id="11" xr3:uid="{0B6CF83F-A1CF-4E3C-82E2-3C7108926CB7}" name="best_pearson_r" dataDxfId="71"/>
    <tableColumn id="12" xr3:uid="{8116CD38-BCD5-42BB-8A36-2012EB4FD001}" name="best_difference_vector_r" dataDxfId="70"/>
  </tableColumns>
  <tableStyleInfo name="TableStyleMedium2" showFirstColumn="1" showLastColumn="1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" xr:uid="{2FBD4250-BAE0-41BC-97CC-9BDD36A09171}" name="Table28" displayName="Table28" ref="A63:L73" totalsRowShown="0" headerRowDxfId="69" headerRowBorderDxfId="68" tableBorderDxfId="67">
  <autoFilter ref="A63:L73" xr:uid="{2FBD4250-BAE0-41BC-97CC-9BDD36A09171}"/>
  <tableColumns count="12">
    <tableColumn id="1" xr3:uid="{B4490C8F-A623-46A3-BD03-9EF1B06FC551}" name="final_evaluation_seed" dataDxfId="66"/>
    <tableColumn id="2" xr3:uid="{5F8175F6-987F-4B2D-829A-9B6C84ECECB1}" name="seed_a_e" dataDxfId="65">
      <calculatedColumnFormula>LOG(B51,2)</calculatedColumnFormula>
    </tableColumn>
    <tableColumn id="3" xr3:uid="{A194688A-F8A3-4E25-8AA8-3F0D332E48AC}" name="seed_b_e" dataDxfId="64">
      <calculatedColumnFormula>LOG(C51,2)</calculatedColumnFormula>
    </tableColumn>
    <tableColumn id="4" xr3:uid="{28D14303-AF43-49B3-9D20-9892F101B73C}" name="seed_d_e" dataDxfId="63">
      <calculatedColumnFormula>LOG(D51,2)</calculatedColumnFormula>
    </tableColumn>
    <tableColumn id="5" xr3:uid="{C781CCD2-FFA6-4237-98D5-FFA2409809E2}" name="seed_c_I_sst" dataDxfId="62">
      <calculatedColumnFormula>LOG(E51,2)</calculatedColumnFormula>
    </tableColumn>
    <tableColumn id="6" xr3:uid="{3CA982C7-8F81-4C35-AAE4-D65611E41123}" name="seed_c_I_vip" dataDxfId="61">
      <calculatedColumnFormula>LOG(F51,2)</calculatedColumnFormula>
    </tableColumn>
    <tableColumn id="7" xr3:uid="{0E6094B7-3705-4FE9-99F4-A307F289DD8A}" name="seed_c_I_pv" dataDxfId="60">
      <calculatedColumnFormula>LOG(G51,2)</calculatedColumnFormula>
    </tableColumn>
    <tableColumn id="8" xr3:uid="{B886920C-27CD-4855-A527-9226DF1C1987}" name="seed_r_0_sst" dataDxfId="59">
      <calculatedColumnFormula>LOG(H51,2)</calculatedColumnFormula>
    </tableColumn>
    <tableColumn id="9" xr3:uid="{008023C7-5B0F-4F74-B0B6-9E4FE2C9AF92}" name="seed_r_0_vip" dataDxfId="58">
      <calculatedColumnFormula>LOG(I51,2)</calculatedColumnFormula>
    </tableColumn>
    <tableColumn id="10" xr3:uid="{6594ECF7-B8B8-451D-8861-41ED5893CD85}" name="seed_r_0_pv" dataDxfId="57">
      <calculatedColumnFormula>LOG(J51,2)</calculatedColumnFormula>
    </tableColumn>
    <tableColumn id="11" xr3:uid="{01D48AB5-4BFC-4F00-BDF7-E5FE3A16755E}" name="best_pearson_r" dataDxfId="56"/>
    <tableColumn id="12" xr3:uid="{B95368D8-FDC0-4D9D-9B12-3540C021B1C6}" name="best_difference_vector_r" dataDxfId="55"/>
  </tableColumns>
  <tableStyleInfo name="TableStyleMedium2" showFirstColumn="1" showLastColumn="1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1" xr:uid="{2806A620-3E6B-4861-AE70-E4C12B09B013}" name="Table31" displayName="Table31" ref="N63:Y73" totalsRowShown="0">
  <autoFilter ref="N63:Y73" xr:uid="{2806A620-3E6B-4861-AE70-E4C12B09B013}"/>
  <tableColumns count="12">
    <tableColumn id="1" xr3:uid="{00CF6880-3883-432C-B0EF-EBC8FF079300}" name="final_evaluation_seed"/>
    <tableColumn id="2" xr3:uid="{A0747E35-5BF2-4693-B7BD-C2D9E37B4979}" name="seed_a_e" dataDxfId="54">
      <calculatedColumnFormula>Table28[[#This Row],[seed_a_e]]</calculatedColumnFormula>
    </tableColumn>
    <tableColumn id="3" xr3:uid="{128F7D4C-0DE3-413F-B1BE-08D0594F124E}" name="seed_b_e" dataDxfId="53">
      <calculatedColumnFormula>Table28[[#This Row],[seed_b_e]]</calculatedColumnFormula>
    </tableColumn>
    <tableColumn id="4" xr3:uid="{6EECB48C-B6DC-4F34-97D7-C5B88F438774}" name="seed_d_e" dataDxfId="52">
      <calculatedColumnFormula>Table28[[#This Row],[seed_d_e]]</calculatedColumnFormula>
    </tableColumn>
    <tableColumn id="5" xr3:uid="{722296E4-DE1C-4E97-8A2C-C282870189B4}" name="seed_c_I_sst" dataDxfId="51">
      <calculatedColumnFormula>Table28[[#This Row],[seed_c_I_sst]]</calculatedColumnFormula>
    </tableColumn>
    <tableColumn id="6" xr3:uid="{9850F111-136F-4503-9F3D-64618026D1B3}" name="seed_c_I_vip" dataDxfId="50">
      <calculatedColumnFormula>Table28[[#This Row],[seed_c_I_vip]]</calculatedColumnFormula>
    </tableColumn>
    <tableColumn id="7" xr3:uid="{D8B2F850-139F-4CCC-A97D-EB67049313FD}" name="seed_c_I_pv" dataDxfId="49">
      <calculatedColumnFormula>Table28[[#This Row],[seed_c_I_pv]]</calculatedColumnFormula>
    </tableColumn>
    <tableColumn id="8" xr3:uid="{E82809A0-55FA-415B-BCEA-A2A85402A4DD}" name="seed_r_0_sst" dataDxfId="48">
      <calculatedColumnFormula>Table28[[#This Row],[seed_r_0_sst]]</calculatedColumnFormula>
    </tableColumn>
    <tableColumn id="9" xr3:uid="{058856AF-3C19-450F-A349-EA74AEE2DFBF}" name="seed_r_0_vip" dataDxfId="47">
      <calculatedColumnFormula>Table28[[#This Row],[seed_r_0_vip]]</calculatedColumnFormula>
    </tableColumn>
    <tableColumn id="10" xr3:uid="{6B0B7E7F-2BC9-454F-B571-33AAB628926A}" name="seed_r_0_pv" dataDxfId="46">
      <calculatedColumnFormula>Table28[[#This Row],[seed_r_0_pv]]</calculatedColumnFormula>
    </tableColumn>
    <tableColumn id="11" xr3:uid="{685C0F06-FC6C-4110-8528-A6A019C29B89}" name="best_pearson_r" dataDxfId="45"/>
    <tableColumn id="12" xr3:uid="{225E3DAB-1D3B-4C2C-88C0-11CD52BBB66B}" name="best_difference_vector_r" dataDxfId="44"/>
  </tableColumns>
  <tableStyleInfo name="TableStyleMedium2" showFirstColumn="1" showLastColumn="1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table" Target="../tables/table7.xml"/><Relationship Id="rId3" Type="http://schemas.openxmlformats.org/officeDocument/2006/relationships/table" Target="../tables/table2.xml"/><Relationship Id="rId7" Type="http://schemas.openxmlformats.org/officeDocument/2006/relationships/table" Target="../tables/table6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Relationship Id="rId6" Type="http://schemas.openxmlformats.org/officeDocument/2006/relationships/table" Target="../tables/table5.xml"/><Relationship Id="rId5" Type="http://schemas.openxmlformats.org/officeDocument/2006/relationships/table" Target="../tables/table4.xml"/><Relationship Id="rId10" Type="http://schemas.openxmlformats.org/officeDocument/2006/relationships/table" Target="../tables/table9.xml"/><Relationship Id="rId4" Type="http://schemas.openxmlformats.org/officeDocument/2006/relationships/table" Target="../tables/table3.xml"/><Relationship Id="rId9" Type="http://schemas.openxmlformats.org/officeDocument/2006/relationships/table" Target="../tables/table8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4.xml"/><Relationship Id="rId1" Type="http://schemas.openxmlformats.org/officeDocument/2006/relationships/table" Target="../tables/table13.xml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table" Target="../tables/table21.xml"/><Relationship Id="rId3" Type="http://schemas.openxmlformats.org/officeDocument/2006/relationships/table" Target="../tables/table16.xml"/><Relationship Id="rId7" Type="http://schemas.openxmlformats.org/officeDocument/2006/relationships/table" Target="../tables/table20.xml"/><Relationship Id="rId2" Type="http://schemas.openxmlformats.org/officeDocument/2006/relationships/table" Target="../tables/table15.xml"/><Relationship Id="rId1" Type="http://schemas.openxmlformats.org/officeDocument/2006/relationships/drawing" Target="../drawings/drawing2.xml"/><Relationship Id="rId6" Type="http://schemas.openxmlformats.org/officeDocument/2006/relationships/table" Target="../tables/table19.xml"/><Relationship Id="rId5" Type="http://schemas.openxmlformats.org/officeDocument/2006/relationships/table" Target="../tables/table18.xml"/><Relationship Id="rId4" Type="http://schemas.openxmlformats.org/officeDocument/2006/relationships/table" Target="../tables/table17.xml"/><Relationship Id="rId9" Type="http://schemas.openxmlformats.org/officeDocument/2006/relationships/table" Target="../tables/table2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7B445F-8D43-4D1E-9470-CD21867C00BD}">
  <sheetPr codeName="Sheet2"/>
  <dimension ref="A1:AI155"/>
  <sheetViews>
    <sheetView tabSelected="1" topLeftCell="L39" zoomScale="66" zoomScaleNormal="100" workbookViewId="0">
      <selection activeCell="T47" sqref="T47"/>
    </sheetView>
  </sheetViews>
  <sheetFormatPr defaultRowHeight="14.4" x14ac:dyDescent="0.3"/>
  <cols>
    <col min="1" max="1" width="34.88671875" bestFit="1" customWidth="1"/>
    <col min="2" max="3" width="41.5546875" bestFit="1" customWidth="1"/>
    <col min="4" max="4" width="16.33203125" bestFit="1" customWidth="1"/>
    <col min="5" max="7" width="20.33203125" bestFit="1" customWidth="1"/>
    <col min="8" max="8" width="20.5546875" bestFit="1" customWidth="1"/>
    <col min="9" max="9" width="38.33203125" bestFit="1" customWidth="1"/>
    <col min="10" max="10" width="27.44140625" bestFit="1" customWidth="1"/>
    <col min="11" max="11" width="41.5546875" bestFit="1" customWidth="1"/>
    <col min="12" max="12" width="32" bestFit="1" customWidth="1"/>
    <col min="13" max="13" width="23.5546875" bestFit="1" customWidth="1"/>
    <col min="14" max="14" width="22.88671875" bestFit="1" customWidth="1"/>
    <col min="15" max="15" width="28.109375" bestFit="1" customWidth="1"/>
    <col min="16" max="17" width="20.33203125" bestFit="1" customWidth="1"/>
    <col min="18" max="18" width="19.6640625" bestFit="1" customWidth="1"/>
    <col min="19" max="19" width="22" bestFit="1" customWidth="1"/>
    <col min="20" max="20" width="23" bestFit="1" customWidth="1"/>
    <col min="21" max="21" width="20" bestFit="1" customWidth="1"/>
    <col min="22" max="22" width="41.5546875" bestFit="1" customWidth="1"/>
    <col min="23" max="23" width="10.6640625" customWidth="1"/>
    <col min="24" max="24" width="24.6640625" bestFit="1" customWidth="1"/>
    <col min="25" max="25" width="34.44140625" bestFit="1" customWidth="1"/>
    <col min="26" max="26" width="17.77734375" bestFit="1" customWidth="1"/>
    <col min="27" max="27" width="18.21875" bestFit="1" customWidth="1"/>
    <col min="28" max="28" width="17.6640625" bestFit="1" customWidth="1"/>
    <col min="29" max="29" width="22.21875" bestFit="1" customWidth="1"/>
    <col min="30" max="30" width="8.33203125" bestFit="1" customWidth="1"/>
    <col min="31" max="31" width="7.77734375" bestFit="1" customWidth="1"/>
    <col min="32" max="32" width="13.5546875" bestFit="1" customWidth="1"/>
    <col min="33" max="33" width="16.77734375" bestFit="1" customWidth="1"/>
    <col min="34" max="34" width="18" bestFit="1" customWidth="1"/>
    <col min="35" max="35" width="13.33203125" bestFit="1" customWidth="1"/>
  </cols>
  <sheetData>
    <row r="1" spans="1:35" ht="15" thickBot="1" x14ac:dyDescent="0.35">
      <c r="A1" t="s">
        <v>18</v>
      </c>
      <c r="B1" t="s">
        <v>59</v>
      </c>
      <c r="C1" t="s">
        <v>20</v>
      </c>
      <c r="D1" t="s">
        <v>0</v>
      </c>
      <c r="E1" t="s">
        <v>1</v>
      </c>
      <c r="F1" t="s">
        <v>2</v>
      </c>
      <c r="G1" t="s">
        <v>3</v>
      </c>
      <c r="H1" t="s">
        <v>4</v>
      </c>
      <c r="I1" t="s">
        <v>5</v>
      </c>
      <c r="J1" t="s">
        <v>6</v>
      </c>
      <c r="K1" t="s">
        <v>7</v>
      </c>
      <c r="L1" t="s">
        <v>8</v>
      </c>
      <c r="M1" t="s">
        <v>9</v>
      </c>
      <c r="N1" t="s">
        <v>10</v>
      </c>
      <c r="O1" t="s">
        <v>11</v>
      </c>
      <c r="P1" t="s">
        <v>12</v>
      </c>
      <c r="Q1" t="s">
        <v>13</v>
      </c>
      <c r="R1" t="s">
        <v>14</v>
      </c>
      <c r="S1" t="s">
        <v>15</v>
      </c>
      <c r="T1" t="s">
        <v>16</v>
      </c>
      <c r="U1" t="s">
        <v>17</v>
      </c>
      <c r="X1" s="76" t="s">
        <v>18</v>
      </c>
      <c r="Y1" s="94" t="s">
        <v>59</v>
      </c>
      <c r="Z1" s="94" t="s">
        <v>20</v>
      </c>
      <c r="AA1" s="94" t="s">
        <v>9</v>
      </c>
      <c r="AB1" s="94" t="s">
        <v>10</v>
      </c>
      <c r="AC1" s="94" t="s">
        <v>11</v>
      </c>
      <c r="AD1" s="94" t="s">
        <v>12</v>
      </c>
      <c r="AE1" s="94" t="s">
        <v>13</v>
      </c>
      <c r="AF1" s="94" t="s">
        <v>14</v>
      </c>
      <c r="AG1" s="94" t="s">
        <v>15</v>
      </c>
      <c r="AH1" s="94" t="s">
        <v>16</v>
      </c>
      <c r="AI1" s="95" t="s">
        <v>17</v>
      </c>
    </row>
    <row r="2" spans="1:35" x14ac:dyDescent="0.3">
      <c r="A2" s="35">
        <v>12345</v>
      </c>
      <c r="B2" s="10">
        <v>0.60391527521822497</v>
      </c>
      <c r="C2" s="41">
        <v>0.712406808509643</v>
      </c>
      <c r="D2" s="10">
        <v>0.49971250769678299</v>
      </c>
      <c r="E2" s="10">
        <v>20.024882513440101</v>
      </c>
      <c r="F2" s="10">
        <v>0.72879823433080804</v>
      </c>
      <c r="G2" s="10">
        <v>325.959905325931</v>
      </c>
      <c r="H2" s="10">
        <v>74.782334556846095</v>
      </c>
      <c r="I2" s="10">
        <v>796.49633453349702</v>
      </c>
      <c r="J2" s="10">
        <v>-139.66639712673</v>
      </c>
      <c r="K2" s="10">
        <v>-128.77465843914001</v>
      </c>
      <c r="L2" s="10">
        <v>-380.68241981799503</v>
      </c>
      <c r="M2" s="44">
        <v>249.944372693215</v>
      </c>
      <c r="N2" s="45">
        <v>282.06339872878402</v>
      </c>
      <c r="O2" s="45">
        <v>39.279403191200601</v>
      </c>
      <c r="P2" s="45">
        <v>1.21732841562099</v>
      </c>
      <c r="Q2" s="45">
        <v>3.4961092224547201</v>
      </c>
      <c r="R2" s="45">
        <v>0.11255193689562699</v>
      </c>
      <c r="S2" s="45">
        <v>0.101294616086198</v>
      </c>
      <c r="T2" s="45">
        <v>0.116619630354845</v>
      </c>
      <c r="U2" s="46">
        <v>1.5778363102433</v>
      </c>
      <c r="X2" s="118">
        <v>12345</v>
      </c>
      <c r="Y2" s="23">
        <v>0.60391527521822497</v>
      </c>
      <c r="Z2" s="79">
        <v>0.712406808509643</v>
      </c>
      <c r="AA2" s="83">
        <v>249.944372693215</v>
      </c>
      <c r="AB2" s="84">
        <v>282.06339872878402</v>
      </c>
      <c r="AC2" s="84">
        <v>39.279403191200601</v>
      </c>
      <c r="AD2" s="84">
        <v>1.21732841562099</v>
      </c>
      <c r="AE2" s="84">
        <v>3.4961092224547201</v>
      </c>
      <c r="AF2" s="84">
        <v>0.11255193689562699</v>
      </c>
      <c r="AG2" s="84">
        <v>0.101294616086198</v>
      </c>
      <c r="AH2" s="84">
        <v>0.116619630354845</v>
      </c>
      <c r="AI2" s="85">
        <v>1.5778363102433</v>
      </c>
    </row>
    <row r="3" spans="1:35" x14ac:dyDescent="0.3">
      <c r="A3" s="35">
        <v>24690</v>
      </c>
      <c r="B3" s="10">
        <v>0.48624727790761502</v>
      </c>
      <c r="C3" s="42">
        <v>0.48840316014479601</v>
      </c>
      <c r="D3" s="10">
        <v>9.88580099566259E-2</v>
      </c>
      <c r="E3" s="10">
        <v>107.448901837265</v>
      </c>
      <c r="F3" s="10">
        <v>0.103306765391452</v>
      </c>
      <c r="G3" s="10">
        <v>281.94849418292199</v>
      </c>
      <c r="H3" s="10">
        <v>131.67286034082801</v>
      </c>
      <c r="I3" s="10">
        <v>187.26295325164901</v>
      </c>
      <c r="J3" s="10">
        <v>-109.839873362872</v>
      </c>
      <c r="K3" s="10">
        <v>-26.664888236664702</v>
      </c>
      <c r="L3" s="10">
        <v>-215.87408764921301</v>
      </c>
      <c r="M3" s="47">
        <v>418.25670506356499</v>
      </c>
      <c r="N3" s="10">
        <v>330.038709874456</v>
      </c>
      <c r="O3" s="10">
        <v>32.478360119580003</v>
      </c>
      <c r="P3" s="10">
        <v>0.51822808473398296</v>
      </c>
      <c r="Q3" s="10">
        <v>5.9949632502605397</v>
      </c>
      <c r="R3" s="10">
        <v>0.44945725927744501</v>
      </c>
      <c r="S3" s="10">
        <v>0.100567648699738</v>
      </c>
      <c r="T3" s="10">
        <v>0.21097341589110599</v>
      </c>
      <c r="U3" s="48">
        <v>2.4971317426222299</v>
      </c>
      <c r="X3" s="119">
        <v>24690</v>
      </c>
      <c r="Y3" s="24">
        <v>0.48624727790761502</v>
      </c>
      <c r="Z3" s="80">
        <v>0.48840316014479601</v>
      </c>
      <c r="AA3" s="86">
        <v>418.25670506356499</v>
      </c>
      <c r="AB3" s="24">
        <v>330.038709874456</v>
      </c>
      <c r="AC3" s="24">
        <v>32.478360119580003</v>
      </c>
      <c r="AD3" s="24">
        <v>0.51822808473398296</v>
      </c>
      <c r="AE3" s="24">
        <v>5.9949632502605397</v>
      </c>
      <c r="AF3" s="24">
        <v>0.44945725927744501</v>
      </c>
      <c r="AG3" s="24">
        <v>0.100567648699738</v>
      </c>
      <c r="AH3" s="24">
        <v>0.21097341589110599</v>
      </c>
      <c r="AI3" s="87">
        <v>2.4971317426222299</v>
      </c>
    </row>
    <row r="4" spans="1:35" x14ac:dyDescent="0.3">
      <c r="A4" s="35">
        <v>37035</v>
      </c>
      <c r="B4" s="10">
        <v>0.66176179774459298</v>
      </c>
      <c r="C4" s="42">
        <v>0.59089730657681105</v>
      </c>
      <c r="D4" s="10">
        <v>0.136870097396978</v>
      </c>
      <c r="E4" s="10">
        <v>71.906307180503305</v>
      </c>
      <c r="F4" s="10">
        <v>0.305078964745232</v>
      </c>
      <c r="G4" s="10">
        <v>159.66300257964599</v>
      </c>
      <c r="H4" s="10">
        <v>88.310602308931706</v>
      </c>
      <c r="I4" s="10">
        <v>339.81853595649</v>
      </c>
      <c r="J4" s="10">
        <v>-34.325115797311199</v>
      </c>
      <c r="K4" s="10">
        <v>-36.921241025364203</v>
      </c>
      <c r="L4" s="10">
        <v>-95.967302757883502</v>
      </c>
      <c r="M4" s="47">
        <v>332.23429799566497</v>
      </c>
      <c r="N4" s="10">
        <v>285.69091361756898</v>
      </c>
      <c r="O4" s="10">
        <v>27.272250147894098</v>
      </c>
      <c r="P4" s="10">
        <v>1.8613438661077599</v>
      </c>
      <c r="Q4" s="10">
        <v>4.2838259514911803</v>
      </c>
      <c r="R4" s="10">
        <v>0.10000825970358</v>
      </c>
      <c r="S4" s="10">
        <v>0.108603346406101</v>
      </c>
      <c r="T4" s="10">
        <v>1.33482998823821</v>
      </c>
      <c r="U4" s="48">
        <v>0.39592331101205303</v>
      </c>
      <c r="X4" s="118">
        <v>37035</v>
      </c>
      <c r="Y4" s="23">
        <v>0.66176179774459298</v>
      </c>
      <c r="Z4" s="81">
        <v>0.59089730657681105</v>
      </c>
      <c r="AA4" s="88">
        <v>332.23429799566497</v>
      </c>
      <c r="AB4" s="23">
        <v>285.69091361756898</v>
      </c>
      <c r="AC4" s="23">
        <v>27.272250147894098</v>
      </c>
      <c r="AD4" s="23">
        <v>1.8613438661077599</v>
      </c>
      <c r="AE4" s="23">
        <v>4.2838259514911803</v>
      </c>
      <c r="AF4" s="23">
        <v>0.10000825970358</v>
      </c>
      <c r="AG4" s="23">
        <v>0.108603346406101</v>
      </c>
      <c r="AH4" s="23">
        <v>1.33482998823821</v>
      </c>
      <c r="AI4" s="89">
        <v>0.39592331101205303</v>
      </c>
    </row>
    <row r="5" spans="1:35" x14ac:dyDescent="0.3">
      <c r="A5" s="35">
        <v>49380</v>
      </c>
      <c r="B5" s="10">
        <v>0.52520044160502999</v>
      </c>
      <c r="C5" s="42">
        <v>0.67887988874580396</v>
      </c>
      <c r="D5" s="10">
        <v>0.135257283021884</v>
      </c>
      <c r="E5" s="10">
        <v>54.341626113348902</v>
      </c>
      <c r="F5" s="10">
        <v>0.319266296499567</v>
      </c>
      <c r="G5" s="10">
        <v>130.84246181927901</v>
      </c>
      <c r="H5" s="10">
        <v>132.05520611952599</v>
      </c>
      <c r="I5" s="10">
        <v>329.26251165390198</v>
      </c>
      <c r="J5" s="10">
        <v>-32.644802069313698</v>
      </c>
      <c r="K5" s="10">
        <v>-31.609224064629402</v>
      </c>
      <c r="L5" s="10">
        <v>-95.692086535304099</v>
      </c>
      <c r="M5" s="47">
        <v>352.82756797919097</v>
      </c>
      <c r="N5" s="10">
        <v>375.80018132998202</v>
      </c>
      <c r="O5" s="10">
        <v>57.3813719412165</v>
      </c>
      <c r="P5" s="10">
        <v>5.9714044068960703</v>
      </c>
      <c r="Q5" s="10">
        <v>5.3269490301681097</v>
      </c>
      <c r="R5" s="10">
        <v>0.20186132703462301</v>
      </c>
      <c r="S5" s="10">
        <v>1.8813684765391401</v>
      </c>
      <c r="T5" s="10">
        <v>0.94484692942459003</v>
      </c>
      <c r="U5" s="48">
        <v>1.6140854471050099</v>
      </c>
      <c r="X5" s="119">
        <v>49380</v>
      </c>
      <c r="Y5" s="24">
        <v>0.52520044160502999</v>
      </c>
      <c r="Z5" s="80">
        <v>0.67887988874580396</v>
      </c>
      <c r="AA5" s="86">
        <v>352.82756797919097</v>
      </c>
      <c r="AB5" s="24">
        <v>375.80018132998202</v>
      </c>
      <c r="AC5" s="24">
        <v>57.3813719412165</v>
      </c>
      <c r="AD5" s="24">
        <v>5.9714044068960703</v>
      </c>
      <c r="AE5" s="24">
        <v>5.3269490301681097</v>
      </c>
      <c r="AF5" s="24">
        <v>0.20186132703462301</v>
      </c>
      <c r="AG5" s="24">
        <v>1.8813684765391401</v>
      </c>
      <c r="AH5" s="24">
        <v>0.94484692942459003</v>
      </c>
      <c r="AI5" s="87">
        <v>1.6140854471050099</v>
      </c>
    </row>
    <row r="6" spans="1:35" x14ac:dyDescent="0.3">
      <c r="A6" s="35">
        <v>61725</v>
      </c>
      <c r="B6" s="10">
        <v>0.65013584412540804</v>
      </c>
      <c r="C6" s="42">
        <v>0.51157923348573597</v>
      </c>
      <c r="D6" s="10">
        <v>0.343612223039298</v>
      </c>
      <c r="E6" s="10">
        <v>22.7578066362091</v>
      </c>
      <c r="F6" s="10">
        <v>0.47432979281293203</v>
      </c>
      <c r="G6" s="10">
        <v>219.42034985267401</v>
      </c>
      <c r="H6" s="10">
        <v>223.77431871056399</v>
      </c>
      <c r="I6" s="10">
        <v>757.62197903999697</v>
      </c>
      <c r="J6" s="10">
        <v>-39.956612664627997</v>
      </c>
      <c r="K6" s="10">
        <v>-113.66189461277401</v>
      </c>
      <c r="L6" s="10">
        <v>-49.739133356802199</v>
      </c>
      <c r="M6" s="47">
        <v>328.66130914373701</v>
      </c>
      <c r="N6" s="10">
        <v>234.68146076384599</v>
      </c>
      <c r="O6" s="10">
        <v>48.640617215127101</v>
      </c>
      <c r="P6" s="10">
        <v>0.66329624206417603</v>
      </c>
      <c r="Q6" s="10">
        <v>5.9885827680080004</v>
      </c>
      <c r="R6" s="10">
        <v>0.44988299110504398</v>
      </c>
      <c r="S6" s="10">
        <v>0.10080594271322001</v>
      </c>
      <c r="T6" s="10">
        <v>1.3672940648941001</v>
      </c>
      <c r="U6" s="48">
        <v>1.5598435050494699</v>
      </c>
      <c r="X6" s="118">
        <v>61725</v>
      </c>
      <c r="Y6" s="23">
        <v>0.65013584412540804</v>
      </c>
      <c r="Z6" s="81">
        <v>0.51157923348573597</v>
      </c>
      <c r="AA6" s="88">
        <v>328.66130914373701</v>
      </c>
      <c r="AB6" s="23">
        <v>234.68146076384599</v>
      </c>
      <c r="AC6" s="23">
        <v>48.640617215127101</v>
      </c>
      <c r="AD6" s="23">
        <v>0.66329624206417603</v>
      </c>
      <c r="AE6" s="23">
        <v>5.9885827680080004</v>
      </c>
      <c r="AF6" s="23">
        <v>0.44988299110504398</v>
      </c>
      <c r="AG6" s="23">
        <v>0.10080594271322001</v>
      </c>
      <c r="AH6" s="23">
        <v>1.3672940648941001</v>
      </c>
      <c r="AI6" s="89">
        <v>1.5598435050494699</v>
      </c>
    </row>
    <row r="7" spans="1:35" x14ac:dyDescent="0.3">
      <c r="A7" s="35">
        <v>74070</v>
      </c>
      <c r="B7" s="10">
        <v>0.54313186736951702</v>
      </c>
      <c r="C7" s="42">
        <v>0.61136346201208103</v>
      </c>
      <c r="D7" s="10">
        <v>0.239974676754799</v>
      </c>
      <c r="E7" s="10">
        <v>39.147015101653402</v>
      </c>
      <c r="F7" s="10">
        <v>0.11411813898861101</v>
      </c>
      <c r="G7" s="10">
        <v>305.98402717792402</v>
      </c>
      <c r="H7" s="10">
        <v>177.816528033541</v>
      </c>
      <c r="I7" s="10">
        <v>718.81048584098403</v>
      </c>
      <c r="J7" s="10">
        <v>-78.859315672410602</v>
      </c>
      <c r="K7" s="10">
        <v>-20.9008398763401</v>
      </c>
      <c r="L7" s="10">
        <v>-36.3949374189826</v>
      </c>
      <c r="M7" s="47">
        <v>374.00585707519201</v>
      </c>
      <c r="N7" s="10">
        <v>229.52299874123099</v>
      </c>
      <c r="O7" s="10">
        <v>11.975744823062</v>
      </c>
      <c r="P7" s="10">
        <v>0.67413267245759501</v>
      </c>
      <c r="Q7" s="10">
        <v>5.9999974178098601</v>
      </c>
      <c r="R7" s="10">
        <v>0.23655072878358799</v>
      </c>
      <c r="S7" s="10">
        <v>0.10022549690346</v>
      </c>
      <c r="T7" s="10">
        <v>0.26935782511441803</v>
      </c>
      <c r="U7" s="48">
        <v>1.4268128233335999</v>
      </c>
      <c r="X7" s="119">
        <v>74070</v>
      </c>
      <c r="Y7" s="24">
        <v>0.54313186736951702</v>
      </c>
      <c r="Z7" s="80">
        <v>0.61136346201208103</v>
      </c>
      <c r="AA7" s="86">
        <v>374.00585707519201</v>
      </c>
      <c r="AB7" s="24">
        <v>229.52299874123099</v>
      </c>
      <c r="AC7" s="24">
        <v>11.975744823062</v>
      </c>
      <c r="AD7" s="24">
        <v>0.67413267245759501</v>
      </c>
      <c r="AE7" s="24">
        <v>5.9999974178098601</v>
      </c>
      <c r="AF7" s="24">
        <v>0.23655072878358799</v>
      </c>
      <c r="AG7" s="24">
        <v>0.10022549690346</v>
      </c>
      <c r="AH7" s="24">
        <v>0.26935782511441803</v>
      </c>
      <c r="AI7" s="87">
        <v>1.4268128233335999</v>
      </c>
    </row>
    <row r="8" spans="1:35" x14ac:dyDescent="0.3">
      <c r="A8" s="35">
        <v>86415</v>
      </c>
      <c r="B8" s="10">
        <v>0.689942458078181</v>
      </c>
      <c r="C8" s="42">
        <v>0.55681124125554704</v>
      </c>
      <c r="D8" s="10">
        <v>0.11605882826250701</v>
      </c>
      <c r="E8" s="10">
        <v>55.075369436081502</v>
      </c>
      <c r="F8" s="10">
        <v>0.100531879869021</v>
      </c>
      <c r="G8" s="10">
        <v>128.077138515249</v>
      </c>
      <c r="H8" s="10">
        <v>75.713414154167097</v>
      </c>
      <c r="I8" s="10">
        <v>281.469897490851</v>
      </c>
      <c r="J8" s="10">
        <v>-30.6610380470518</v>
      </c>
      <c r="K8" s="10">
        <v>-27.346499679992601</v>
      </c>
      <c r="L8" s="10">
        <v>-135.17583317071399</v>
      </c>
      <c r="M8" s="47">
        <v>303.94088440246401</v>
      </c>
      <c r="N8" s="10">
        <v>273.73714889572699</v>
      </c>
      <c r="O8" s="10">
        <v>23.339435792740499</v>
      </c>
      <c r="P8" s="10">
        <v>1.1653244055629799</v>
      </c>
      <c r="Q8" s="10">
        <v>2.9105702589015099</v>
      </c>
      <c r="R8" s="10">
        <v>0.10224991157883501</v>
      </c>
      <c r="S8" s="10">
        <v>0.140456232076098</v>
      </c>
      <c r="T8" s="10">
        <v>1.4935508465976299</v>
      </c>
      <c r="U8" s="48">
        <v>0.39658030424374302</v>
      </c>
      <c r="X8" s="118">
        <v>86415</v>
      </c>
      <c r="Y8" s="23">
        <v>0.689942458078181</v>
      </c>
      <c r="Z8" s="81">
        <v>0.55681124125554704</v>
      </c>
      <c r="AA8" s="88">
        <v>303.94088440246401</v>
      </c>
      <c r="AB8" s="23">
        <v>273.73714889572699</v>
      </c>
      <c r="AC8" s="23">
        <v>23.339435792740499</v>
      </c>
      <c r="AD8" s="23">
        <v>1.1653244055629799</v>
      </c>
      <c r="AE8" s="23">
        <v>2.9105702589015099</v>
      </c>
      <c r="AF8" s="23">
        <v>0.10224991157883501</v>
      </c>
      <c r="AG8" s="23">
        <v>0.140456232076098</v>
      </c>
      <c r="AH8" s="23">
        <v>1.4935508465976299</v>
      </c>
      <c r="AI8" s="89">
        <v>0.39658030424374302</v>
      </c>
    </row>
    <row r="9" spans="1:35" x14ac:dyDescent="0.3">
      <c r="A9" s="35">
        <v>98760</v>
      </c>
      <c r="B9" s="10">
        <v>0.59117161347732095</v>
      </c>
      <c r="C9" s="42">
        <v>0.65351070789674404</v>
      </c>
      <c r="D9" s="10">
        <v>0.28243352863950699</v>
      </c>
      <c r="E9" s="10">
        <v>131.49529546931299</v>
      </c>
      <c r="F9" s="10">
        <v>0.172339096143937</v>
      </c>
      <c r="G9" s="10">
        <v>386.76652820797301</v>
      </c>
      <c r="H9" s="10">
        <v>125.204648980019</v>
      </c>
      <c r="I9" s="10">
        <v>195.32435323325899</v>
      </c>
      <c r="J9" s="10">
        <v>-137.24127728355799</v>
      </c>
      <c r="K9" s="10">
        <v>-79.336623875453597</v>
      </c>
      <c r="L9" s="10">
        <v>-42.523816906523201</v>
      </c>
      <c r="M9" s="47">
        <v>292.50123590147302</v>
      </c>
      <c r="N9" s="10">
        <v>271.37147153366601</v>
      </c>
      <c r="O9" s="10">
        <v>22.107023707693202</v>
      </c>
      <c r="P9" s="10">
        <v>1.38102005624965</v>
      </c>
      <c r="Q9" s="10">
        <v>4.3325973231689101</v>
      </c>
      <c r="R9" s="10">
        <v>0.32138518815565298</v>
      </c>
      <c r="S9" s="10">
        <v>0.198272602909567</v>
      </c>
      <c r="T9" s="10">
        <v>0.448120466117577</v>
      </c>
      <c r="U9" s="48">
        <v>0.80814293920319002</v>
      </c>
      <c r="X9" s="119">
        <v>98760</v>
      </c>
      <c r="Y9" s="24">
        <v>0.59117161347732095</v>
      </c>
      <c r="Z9" s="80">
        <v>0.65351070789674404</v>
      </c>
      <c r="AA9" s="86">
        <v>292.50123590147302</v>
      </c>
      <c r="AB9" s="24">
        <v>271.37147153366601</v>
      </c>
      <c r="AC9" s="24">
        <v>22.107023707693202</v>
      </c>
      <c r="AD9" s="24">
        <v>1.38102005624965</v>
      </c>
      <c r="AE9" s="24">
        <v>4.3325973231689101</v>
      </c>
      <c r="AF9" s="24">
        <v>0.32138518815565298</v>
      </c>
      <c r="AG9" s="24">
        <v>0.198272602909567</v>
      </c>
      <c r="AH9" s="24">
        <v>0.448120466117577</v>
      </c>
      <c r="AI9" s="87">
        <v>0.80814293920319002</v>
      </c>
    </row>
    <row r="10" spans="1:35" x14ac:dyDescent="0.3">
      <c r="A10" s="35">
        <v>111105</v>
      </c>
      <c r="B10" s="10">
        <v>0.50762810253022606</v>
      </c>
      <c r="C10" s="42">
        <v>0.60026349158933801</v>
      </c>
      <c r="D10" s="10">
        <v>0.110035902565616</v>
      </c>
      <c r="E10" s="10">
        <v>20.0122450878435</v>
      </c>
      <c r="F10" s="10">
        <v>0.100206917349126</v>
      </c>
      <c r="G10" s="10">
        <v>118.61333811282501</v>
      </c>
      <c r="H10" s="10">
        <v>459.31056772074999</v>
      </c>
      <c r="I10" s="10">
        <v>627.72064537138397</v>
      </c>
      <c r="J10" s="10">
        <v>-18.970122546646301</v>
      </c>
      <c r="K10" s="10">
        <v>-83.788793886158203</v>
      </c>
      <c r="L10" s="10">
        <v>-288.78318760791097</v>
      </c>
      <c r="M10" s="47">
        <v>327.949623199999</v>
      </c>
      <c r="N10" s="10">
        <v>283.96197152550002</v>
      </c>
      <c r="O10" s="10">
        <v>33.227388471928798</v>
      </c>
      <c r="P10" s="10">
        <v>1.0703813500850601</v>
      </c>
      <c r="Q10" s="10">
        <v>5.5493637313373601</v>
      </c>
      <c r="R10" s="10">
        <v>0.230454066465624</v>
      </c>
      <c r="S10" s="10">
        <v>0.10680025663968799</v>
      </c>
      <c r="T10" s="10">
        <v>0.17786109165508901</v>
      </c>
      <c r="U10" s="48">
        <v>1.2350472397530501</v>
      </c>
      <c r="X10" s="118">
        <v>111105</v>
      </c>
      <c r="Y10" s="23">
        <v>0.50762810253022606</v>
      </c>
      <c r="Z10" s="81">
        <v>0.60026349158933801</v>
      </c>
      <c r="AA10" s="88">
        <v>327.949623199999</v>
      </c>
      <c r="AB10" s="23">
        <v>283.96197152550002</v>
      </c>
      <c r="AC10" s="23">
        <v>33.227388471928798</v>
      </c>
      <c r="AD10" s="23">
        <v>1.0703813500850601</v>
      </c>
      <c r="AE10" s="23">
        <v>5.5493637313373601</v>
      </c>
      <c r="AF10" s="23">
        <v>0.230454066465624</v>
      </c>
      <c r="AG10" s="23">
        <v>0.10680025663968799</v>
      </c>
      <c r="AH10" s="23">
        <v>0.17786109165508901</v>
      </c>
      <c r="AI10" s="89">
        <v>1.2350472397530501</v>
      </c>
    </row>
    <row r="11" spans="1:35" ht="15" thickBot="1" x14ac:dyDescent="0.35">
      <c r="A11" s="35">
        <v>123450</v>
      </c>
      <c r="B11" s="10">
        <v>0.53793669261472898</v>
      </c>
      <c r="C11" s="43">
        <v>0.52796028692755004</v>
      </c>
      <c r="D11" s="10">
        <v>0.47940004392556901</v>
      </c>
      <c r="E11" s="10">
        <v>174.74416206540499</v>
      </c>
      <c r="F11" s="10">
        <v>0.72914887489595803</v>
      </c>
      <c r="G11" s="10">
        <v>352.01683030295902</v>
      </c>
      <c r="H11" s="10">
        <v>78.120170492542101</v>
      </c>
      <c r="I11" s="10">
        <v>798.60860722781797</v>
      </c>
      <c r="J11" s="10">
        <v>-116.27713024654599</v>
      </c>
      <c r="K11" s="10">
        <v>-76.385276840254903</v>
      </c>
      <c r="L11" s="10">
        <v>-130.571008323211</v>
      </c>
      <c r="M11" s="49">
        <v>337.33985082356497</v>
      </c>
      <c r="N11" s="50">
        <v>258.23863001213198</v>
      </c>
      <c r="O11" s="50">
        <v>16.802151126164599</v>
      </c>
      <c r="P11" s="50">
        <v>1.50392832987264</v>
      </c>
      <c r="Q11" s="50">
        <v>4.3842426260623402</v>
      </c>
      <c r="R11" s="50">
        <v>0.44156529106103798</v>
      </c>
      <c r="S11" s="50">
        <v>0.128946976627171</v>
      </c>
      <c r="T11" s="50">
        <v>8.1200539454317905E-2</v>
      </c>
      <c r="U11" s="51">
        <v>1.7917193119714701</v>
      </c>
      <c r="X11" s="119">
        <v>123450</v>
      </c>
      <c r="Y11" s="24">
        <v>0.53793669261472898</v>
      </c>
      <c r="Z11" s="82">
        <v>0.52796028692755004</v>
      </c>
      <c r="AA11" s="90">
        <v>337.33985082356497</v>
      </c>
      <c r="AB11" s="91">
        <v>258.23863001213198</v>
      </c>
      <c r="AC11" s="91">
        <v>16.802151126164599</v>
      </c>
      <c r="AD11" s="91">
        <v>1.50392832987264</v>
      </c>
      <c r="AE11" s="91">
        <v>4.3842426260623402</v>
      </c>
      <c r="AF11" s="91">
        <v>0.44156529106103798</v>
      </c>
      <c r="AG11" s="91">
        <v>0.128946976627171</v>
      </c>
      <c r="AH11" s="91">
        <v>8.1200539454317905E-2</v>
      </c>
      <c r="AI11" s="92">
        <v>1.7917193119714701</v>
      </c>
    </row>
    <row r="12" spans="1:35" ht="15" thickBot="1" x14ac:dyDescent="0.35"/>
    <row r="13" spans="1:35" x14ac:dyDescent="0.3">
      <c r="A13" s="2" t="s">
        <v>36</v>
      </c>
      <c r="B13" s="13">
        <f>AVERAGE(Table3[best_difference_vector_cosine])</f>
        <v>0.57970713706708454</v>
      </c>
      <c r="C13" s="12">
        <f>AVERAGE(Table3[best_pearson_r])</f>
        <v>0.593207558714405</v>
      </c>
      <c r="D13" s="12">
        <f>AVERAGE(Table3[seed_a_e])</f>
        <v>0.24422131012595666</v>
      </c>
      <c r="E13" s="12">
        <f>AVERAGE(Table3[seed_b_e])</f>
        <v>69.695361144106272</v>
      </c>
      <c r="F13" s="12">
        <f>AVERAGE(Table3[seed_d_e])</f>
        <v>0.31471249610266439</v>
      </c>
      <c r="G13" s="12">
        <f>AVERAGE(Table3[seed_c_I_sst])</f>
        <v>240.92920760773822</v>
      </c>
      <c r="H13" s="12">
        <f>AVERAGE(Table3[seed_c_I_vip])</f>
        <v>156.67606514177152</v>
      </c>
      <c r="I13" s="12">
        <f>AVERAGE(Table3[seed_c_I_pv])</f>
        <v>503.23963035998304</v>
      </c>
      <c r="J13" s="12">
        <f>AVERAGE(Table3[seed_r_0_sst])</f>
        <v>-73.84416848170676</v>
      </c>
      <c r="K13" s="12">
        <f>AVERAGE(Table3[seed_r_0_vip])</f>
        <v>-62.538994053677172</v>
      </c>
      <c r="L13" s="12">
        <f>AVERAGE(Table3[seed_r_0_pv])</f>
        <v>-147.14038135445398</v>
      </c>
      <c r="M13" s="12">
        <f>AVERAGE(Table3[I_background_e])</f>
        <v>331.76617042780663</v>
      </c>
      <c r="N13" s="12">
        <f>AVERAGE(Table3[I_background_i])</f>
        <v>282.51068850228933</v>
      </c>
      <c r="O13" s="12">
        <f>AVERAGE(Table3[I_background_dend])</f>
        <v>31.250374653660735</v>
      </c>
      <c r="P13" s="12">
        <f>AVERAGE(Table3[mu_ee])</f>
        <v>1.6026387829650908</v>
      </c>
      <c r="Q13" s="12">
        <f>AVERAGE(Table3[mu_ie])</f>
        <v>4.8267201579662524</v>
      </c>
      <c r="R13" s="12">
        <f>AVERAGE(Table3[e_grad_min])</f>
        <v>0.26459669600610575</v>
      </c>
      <c r="S13" s="12">
        <f>AVERAGE(Table3[balloon_kappa])</f>
        <v>0.29673415956003812</v>
      </c>
      <c r="T13" s="12">
        <f>AVERAGE(Table3[balloon_gamma])</f>
        <v>0.64446547977418822</v>
      </c>
      <c r="U13" s="12">
        <f>AVERAGE(Table3[balloon_tau])</f>
        <v>1.3303122934537115</v>
      </c>
      <c r="Z13" t="s">
        <v>128</v>
      </c>
      <c r="AA13">
        <v>100</v>
      </c>
      <c r="AB13">
        <v>100</v>
      </c>
      <c r="AC13">
        <v>0</v>
      </c>
      <c r="AD13">
        <v>0.5</v>
      </c>
      <c r="AE13">
        <v>0.5</v>
      </c>
      <c r="AF13">
        <v>0.1</v>
      </c>
      <c r="AG13">
        <v>0.1</v>
      </c>
      <c r="AH13">
        <v>0.05</v>
      </c>
      <c r="AI13">
        <v>0.3</v>
      </c>
    </row>
    <row r="14" spans="1:35" x14ac:dyDescent="0.3">
      <c r="A14" s="3" t="s">
        <v>37</v>
      </c>
      <c r="B14" s="13">
        <f>_xlfn.STDEV.P(Table3[best_difference_vector_cosine])</f>
        <v>6.6742862550686288E-2</v>
      </c>
      <c r="C14" s="12">
        <f>_xlfn.STDEV.P(Table3[best_pearson_r])</f>
        <v>6.985591113403529E-2</v>
      </c>
      <c r="D14" s="12">
        <f>_xlfn.STDEV.P(Table3[seed_a_e])</f>
        <v>0.14522424950709859</v>
      </c>
      <c r="E14" s="12">
        <f>_xlfn.STDEV.P(Table3[seed_b_e])</f>
        <v>49.805708356930914</v>
      </c>
      <c r="F14" s="12">
        <f>_xlfn.STDEV.P(Table3[seed_d_e])</f>
        <v>0.23788702736609491</v>
      </c>
      <c r="G14" s="12">
        <f>_xlfn.STDEV.P(Table3[seed_c_I_sst])</f>
        <v>96.766003864715557</v>
      </c>
      <c r="H14" s="12">
        <f>_xlfn.STDEV.P(Table3[seed_c_I_vip])</f>
        <v>110.8444554299265</v>
      </c>
      <c r="I14" s="12">
        <f>_xlfn.STDEV.P(Table3[seed_c_I_pv])</f>
        <v>245.09761481913824</v>
      </c>
      <c r="J14" s="12">
        <f>_xlfn.STDEV.P(Table3[seed_r_0_sst])</f>
        <v>45.559424197562016</v>
      </c>
      <c r="K14" s="12">
        <f>_xlfn.STDEV.P(Table3[seed_r_0_vip])</f>
        <v>37.146018708897408</v>
      </c>
      <c r="L14" s="12">
        <f>_xlfn.STDEV.P(Table3[seed_r_0_pv])</f>
        <v>108.49349208301197</v>
      </c>
      <c r="M14" s="12">
        <f>_xlfn.STDEV.P(Table3[I_background_e])</f>
        <v>43.329742255920529</v>
      </c>
      <c r="N14" s="12">
        <f>_xlfn.STDEV.P(Table3[I_background_i])</f>
        <v>41.060665700231496</v>
      </c>
      <c r="O14" s="12">
        <f>_xlfn.STDEV.P(Table3[I_background_dend])</f>
        <v>13.406726668954178</v>
      </c>
      <c r="P14" s="12">
        <f>_xlfn.STDEV.P(Table3[mu_ee])</f>
        <v>1.5084873382969142</v>
      </c>
      <c r="Q14" s="12">
        <f>_xlfn.STDEV.P(Table3[mu_ie])</f>
        <v>1.0507412903951312</v>
      </c>
      <c r="R14" s="12">
        <f>_xlfn.STDEV.P(Table3[e_grad_min])</f>
        <v>0.13619791407416829</v>
      </c>
      <c r="S14" s="12">
        <f>_xlfn.STDEV.P(Table3[balloon_kappa])</f>
        <v>0.52900713153886858</v>
      </c>
      <c r="T14" s="12">
        <f>_xlfn.STDEV.P(Table3[balloon_gamma])</f>
        <v>0.54690401979118364</v>
      </c>
      <c r="U14" s="12">
        <f>_xlfn.STDEV.P(Table3[balloon_tau])</f>
        <v>0.61683310529164304</v>
      </c>
      <c r="Z14" t="s">
        <v>127</v>
      </c>
      <c r="AA14">
        <v>310</v>
      </c>
      <c r="AB14">
        <v>300</v>
      </c>
      <c r="AC14">
        <v>30</v>
      </c>
      <c r="AD14">
        <v>1.45</v>
      </c>
      <c r="AE14">
        <v>2.2400000000000002</v>
      </c>
      <c r="AF14">
        <v>0.45</v>
      </c>
      <c r="AG14">
        <v>0.65</v>
      </c>
      <c r="AH14">
        <v>0.41</v>
      </c>
      <c r="AI14">
        <v>0.98</v>
      </c>
    </row>
    <row r="15" spans="1:35" ht="15" thickBot="1" x14ac:dyDescent="0.35">
      <c r="A15" s="4" t="s">
        <v>60</v>
      </c>
      <c r="B15" s="13">
        <f>B14/B13</f>
        <v>0.11513203526932378</v>
      </c>
      <c r="C15" s="12">
        <f t="shared" ref="C15:U15" si="0">C14/C13</f>
        <v>0.117759644340046</v>
      </c>
      <c r="D15" s="12">
        <f t="shared" si="0"/>
        <v>0.59464200495935204</v>
      </c>
      <c r="E15" s="12">
        <f t="shared" si="0"/>
        <v>0.71462013453018303</v>
      </c>
      <c r="F15" s="12">
        <f t="shared" si="0"/>
        <v>0.75588681832478699</v>
      </c>
      <c r="G15" s="12">
        <f t="shared" si="0"/>
        <v>0.40163666674346216</v>
      </c>
      <c r="H15" s="12">
        <f t="shared" si="0"/>
        <v>0.70747535898113501</v>
      </c>
      <c r="I15" s="12">
        <f t="shared" si="0"/>
        <v>0.48703957326216984</v>
      </c>
      <c r="J15" s="12">
        <f t="shared" si="0"/>
        <v>-0.61696712325832936</v>
      </c>
      <c r="K15" s="12">
        <f t="shared" si="0"/>
        <v>-0.59396572124289382</v>
      </c>
      <c r="L15" s="12">
        <f t="shared" si="0"/>
        <v>-0.73734681862524509</v>
      </c>
      <c r="M15" s="12">
        <f t="shared" si="0"/>
        <v>0.13060325650456642</v>
      </c>
      <c r="N15" s="12">
        <f t="shared" si="0"/>
        <v>0.1453419901311053</v>
      </c>
      <c r="O15" s="12">
        <f t="shared" si="0"/>
        <v>0.42901011003987072</v>
      </c>
      <c r="P15" s="12">
        <f t="shared" si="0"/>
        <v>0.94125223620634957</v>
      </c>
      <c r="Q15" s="12">
        <f t="shared" si="0"/>
        <v>0.21769260616050776</v>
      </c>
      <c r="R15" s="12">
        <f t="shared" si="0"/>
        <v>0.51473777310894853</v>
      </c>
      <c r="S15" s="12">
        <f t="shared" si="0"/>
        <v>1.7827645200108306</v>
      </c>
      <c r="T15" s="12">
        <f t="shared" si="0"/>
        <v>0.84861646892679377</v>
      </c>
      <c r="U15" s="12">
        <f t="shared" si="0"/>
        <v>0.46367541540959673</v>
      </c>
      <c r="Z15" t="s">
        <v>129</v>
      </c>
      <c r="AA15">
        <v>600</v>
      </c>
      <c r="AB15">
        <v>600</v>
      </c>
      <c r="AC15">
        <v>80</v>
      </c>
      <c r="AD15">
        <v>6</v>
      </c>
      <c r="AE15">
        <v>6</v>
      </c>
      <c r="AF15">
        <v>0.45</v>
      </c>
      <c r="AG15">
        <v>2</v>
      </c>
      <c r="AH15">
        <v>1.5</v>
      </c>
      <c r="AI15">
        <v>2.5</v>
      </c>
    </row>
    <row r="16" spans="1:35" ht="15" thickBot="1" x14ac:dyDescent="0.35"/>
    <row r="17" spans="1:35" x14ac:dyDescent="0.3">
      <c r="A17" s="38" t="s">
        <v>32</v>
      </c>
      <c r="B17" s="37">
        <f>MIN(Table3[best_difference_vector_cosine])</f>
        <v>0.48624727790761502</v>
      </c>
      <c r="C17" s="36">
        <f>MIN(Table3[best_pearson_r])</f>
        <v>0.48840316014479601</v>
      </c>
      <c r="D17" s="36">
        <f>MIN(Table3[seed_a_e])</f>
        <v>9.88580099566259E-2</v>
      </c>
      <c r="E17" s="36">
        <f>MIN(Table3[seed_b_e])</f>
        <v>20.0122450878435</v>
      </c>
      <c r="F17" s="36">
        <f>MIN(Table3[seed_d_e])</f>
        <v>0.100206917349126</v>
      </c>
      <c r="G17" s="36">
        <f>MIN(Table3[seed_c_I_sst])</f>
        <v>118.61333811282501</v>
      </c>
      <c r="H17" s="36">
        <f>MIN(Table3[seed_c_I_vip])</f>
        <v>74.782334556846095</v>
      </c>
      <c r="I17" s="36">
        <f>MIN(Table3[seed_c_I_pv])</f>
        <v>187.26295325164901</v>
      </c>
      <c r="J17" s="36">
        <f>MIN(Table3[seed_r_0_sst])</f>
        <v>-139.66639712673</v>
      </c>
      <c r="K17" s="36">
        <f>MIN(Table3[seed_r_0_vip])</f>
        <v>-128.77465843914001</v>
      </c>
      <c r="L17" s="36">
        <f>MIN(Table3[seed_r_0_pv])</f>
        <v>-380.68241981799503</v>
      </c>
      <c r="M17" s="36">
        <f>MIN(Table3[I_background_e])</f>
        <v>249.944372693215</v>
      </c>
      <c r="N17" s="36">
        <f>MIN(Table3[I_background_i])</f>
        <v>229.52299874123099</v>
      </c>
      <c r="O17" s="36">
        <f>MIN(Table3[I_background_dend])</f>
        <v>11.975744823062</v>
      </c>
      <c r="P17" s="36">
        <f>MIN(Table3[mu_ee])</f>
        <v>0.51822808473398296</v>
      </c>
      <c r="Q17" s="36">
        <f>MIN(Table3[mu_ie])</f>
        <v>2.9105702589015099</v>
      </c>
      <c r="R17" s="36">
        <f>MIN(Table3[e_grad_min])</f>
        <v>0.10000825970358</v>
      </c>
      <c r="S17" s="36">
        <f>MIN(Table3[balloon_kappa])</f>
        <v>0.10022549690346</v>
      </c>
      <c r="T17" s="36">
        <f>MIN(Table3[balloon_gamma])</f>
        <v>8.1200539454317905E-2</v>
      </c>
      <c r="U17" s="36">
        <f>MIN(Table3[balloon_tau])</f>
        <v>0.39592331101205303</v>
      </c>
      <c r="Z17" t="s">
        <v>32</v>
      </c>
      <c r="AA17" s="10">
        <f>M17</f>
        <v>249.944372693215</v>
      </c>
      <c r="AB17" s="10">
        <f t="shared" ref="AB17:AI18" si="1">N17</f>
        <v>229.52299874123099</v>
      </c>
      <c r="AC17" s="10">
        <f t="shared" si="1"/>
        <v>11.975744823062</v>
      </c>
      <c r="AD17" s="10">
        <f t="shared" si="1"/>
        <v>0.51822808473398296</v>
      </c>
      <c r="AE17" s="10">
        <f t="shared" si="1"/>
        <v>2.9105702589015099</v>
      </c>
      <c r="AF17" s="10">
        <f t="shared" si="1"/>
        <v>0.10000825970358</v>
      </c>
      <c r="AG17" s="10">
        <f t="shared" si="1"/>
        <v>0.10022549690346</v>
      </c>
      <c r="AH17" s="10">
        <f t="shared" si="1"/>
        <v>8.1200539454317905E-2</v>
      </c>
      <c r="AI17" s="10">
        <f t="shared" si="1"/>
        <v>0.39592331101205303</v>
      </c>
    </row>
    <row r="18" spans="1:35" x14ac:dyDescent="0.3">
      <c r="A18" s="39" t="s">
        <v>33</v>
      </c>
      <c r="B18" s="37">
        <f>MAX(Table3[best_difference_vector_cosine])</f>
        <v>0.689942458078181</v>
      </c>
      <c r="C18" s="36">
        <f>MAX(Table3[best_pearson_r])</f>
        <v>0.712406808509643</v>
      </c>
      <c r="D18" s="36">
        <f>MAX(Table3[seed_a_e])</f>
        <v>0.49971250769678299</v>
      </c>
      <c r="E18" s="36">
        <f>MAX(Table3[seed_b_e])</f>
        <v>174.74416206540499</v>
      </c>
      <c r="F18" s="36">
        <f>MAX(Table3[seed_d_e])</f>
        <v>0.72914887489595803</v>
      </c>
      <c r="G18" s="36">
        <f>MAX(Table3[seed_c_I_sst])</f>
        <v>386.76652820797301</v>
      </c>
      <c r="H18" s="36">
        <f>MAX(Table3[seed_c_I_vip])</f>
        <v>459.31056772074999</v>
      </c>
      <c r="I18" s="36">
        <f>MAX(Table3[seed_c_I_pv])</f>
        <v>798.60860722781797</v>
      </c>
      <c r="J18" s="36">
        <f>MAX(Table3[seed_r_0_sst])</f>
        <v>-18.970122546646301</v>
      </c>
      <c r="K18" s="36">
        <f>MAX(Table3[seed_r_0_vip])</f>
        <v>-20.9008398763401</v>
      </c>
      <c r="L18" s="36">
        <f>MAX(Table3[seed_r_0_pv])</f>
        <v>-36.3949374189826</v>
      </c>
      <c r="M18" s="36">
        <f>MAX(Table3[I_background_e])</f>
        <v>418.25670506356499</v>
      </c>
      <c r="N18" s="36">
        <f>MAX(Table3[I_background_i])</f>
        <v>375.80018132998202</v>
      </c>
      <c r="O18" s="36">
        <f>MAX(Table3[I_background_dend])</f>
        <v>57.3813719412165</v>
      </c>
      <c r="P18" s="36">
        <f>MAX(Table3[mu_ee])</f>
        <v>5.9714044068960703</v>
      </c>
      <c r="Q18" s="36">
        <f>MAX(Table3[mu_ie])</f>
        <v>5.9999974178098601</v>
      </c>
      <c r="R18" s="36">
        <f>MAX(Table3[e_grad_min])</f>
        <v>0.44988299110504398</v>
      </c>
      <c r="S18" s="36">
        <f>MAX(Table3[balloon_kappa])</f>
        <v>1.8813684765391401</v>
      </c>
      <c r="T18" s="36">
        <f>MAX(Table3[balloon_gamma])</f>
        <v>1.4935508465976299</v>
      </c>
      <c r="U18" s="36">
        <f>MAX(Table3[balloon_tau])</f>
        <v>2.4971317426222299</v>
      </c>
      <c r="Z18" t="s">
        <v>33</v>
      </c>
      <c r="AA18" s="10">
        <f>M18</f>
        <v>418.25670506356499</v>
      </c>
      <c r="AB18" s="10">
        <f t="shared" si="1"/>
        <v>375.80018132998202</v>
      </c>
      <c r="AC18" s="10">
        <f t="shared" si="1"/>
        <v>57.3813719412165</v>
      </c>
      <c r="AD18" s="10">
        <f t="shared" si="1"/>
        <v>5.9714044068960703</v>
      </c>
      <c r="AE18" s="10">
        <f t="shared" si="1"/>
        <v>5.9999974178098601</v>
      </c>
      <c r="AF18" s="10">
        <f t="shared" si="1"/>
        <v>0.44988299110504398</v>
      </c>
      <c r="AG18" s="10">
        <f t="shared" si="1"/>
        <v>1.8813684765391401</v>
      </c>
      <c r="AH18" s="10">
        <f t="shared" si="1"/>
        <v>1.4935508465976299</v>
      </c>
      <c r="AI18" s="10">
        <f t="shared" si="1"/>
        <v>2.4971317426222299</v>
      </c>
    </row>
    <row r="19" spans="1:35" ht="15" thickBot="1" x14ac:dyDescent="0.35">
      <c r="A19" s="40" t="s">
        <v>34</v>
      </c>
      <c r="B19" s="37">
        <f>B18-B17</f>
        <v>0.20369518017056598</v>
      </c>
      <c r="C19" s="36">
        <f t="shared" ref="C19:U19" si="2">C18-C17</f>
        <v>0.22400364836484699</v>
      </c>
      <c r="D19" s="36">
        <f t="shared" si="2"/>
        <v>0.40085449774015708</v>
      </c>
      <c r="E19" s="36">
        <f t="shared" si="2"/>
        <v>154.7319169775615</v>
      </c>
      <c r="F19" s="36">
        <f t="shared" si="2"/>
        <v>0.62894195754683202</v>
      </c>
      <c r="G19" s="36">
        <f t="shared" si="2"/>
        <v>268.15319009514803</v>
      </c>
      <c r="H19" s="36">
        <f t="shared" si="2"/>
        <v>384.52823316390391</v>
      </c>
      <c r="I19" s="36">
        <f t="shared" si="2"/>
        <v>611.34565397616893</v>
      </c>
      <c r="J19" s="36">
        <f t="shared" si="2"/>
        <v>120.6962745800837</v>
      </c>
      <c r="K19" s="36">
        <f t="shared" si="2"/>
        <v>107.87381856279991</v>
      </c>
      <c r="L19" s="36">
        <f t="shared" si="2"/>
        <v>344.28748239901245</v>
      </c>
      <c r="M19" s="36">
        <f t="shared" si="2"/>
        <v>168.31233237034999</v>
      </c>
      <c r="N19" s="36">
        <f t="shared" si="2"/>
        <v>146.27718258875103</v>
      </c>
      <c r="O19" s="36">
        <f t="shared" si="2"/>
        <v>45.405627118154499</v>
      </c>
      <c r="P19" s="36">
        <f t="shared" si="2"/>
        <v>5.4531763221620873</v>
      </c>
      <c r="Q19" s="36">
        <f t="shared" si="2"/>
        <v>3.0894271589083502</v>
      </c>
      <c r="R19" s="36">
        <f t="shared" si="2"/>
        <v>0.34987473140146397</v>
      </c>
      <c r="S19" s="36">
        <f t="shared" si="2"/>
        <v>1.7811429796356801</v>
      </c>
      <c r="T19" s="36">
        <f t="shared" si="2"/>
        <v>1.4123503071433121</v>
      </c>
      <c r="U19" s="36">
        <f t="shared" si="2"/>
        <v>2.1012084316101767</v>
      </c>
    </row>
    <row r="20" spans="1:35" ht="15" thickBot="1" x14ac:dyDescent="0.35">
      <c r="Y20" t="s">
        <v>133</v>
      </c>
      <c r="Z20" t="s">
        <v>130</v>
      </c>
      <c r="AA20" s="10">
        <f t="shared" ref="AA20:AI20" si="3">AA18-AA17</f>
        <v>168.31233237034999</v>
      </c>
      <c r="AB20" s="10">
        <f t="shared" si="3"/>
        <v>146.27718258875103</v>
      </c>
      <c r="AC20" s="10">
        <f t="shared" si="3"/>
        <v>45.405627118154499</v>
      </c>
      <c r="AD20" s="10">
        <f t="shared" si="3"/>
        <v>5.4531763221620873</v>
      </c>
      <c r="AE20" s="10">
        <f t="shared" si="3"/>
        <v>3.0894271589083502</v>
      </c>
      <c r="AF20" s="10">
        <f t="shared" si="3"/>
        <v>0.34987473140146397</v>
      </c>
      <c r="AG20" s="10">
        <f t="shared" si="3"/>
        <v>1.7811429796356801</v>
      </c>
      <c r="AH20" s="10">
        <f t="shared" si="3"/>
        <v>1.4123503071433121</v>
      </c>
      <c r="AI20" s="10">
        <f t="shared" si="3"/>
        <v>2.1012084316101767</v>
      </c>
    </row>
    <row r="21" spans="1:35" ht="15" thickBot="1" x14ac:dyDescent="0.35">
      <c r="A21" s="30" t="s">
        <v>61</v>
      </c>
      <c r="Z21" t="s">
        <v>131</v>
      </c>
      <c r="AA21">
        <f>AA15-AA13</f>
        <v>500</v>
      </c>
      <c r="AB21">
        <f t="shared" ref="AB21:AI21" si="4">AB15-AB13</f>
        <v>500</v>
      </c>
      <c r="AC21">
        <f t="shared" si="4"/>
        <v>80</v>
      </c>
      <c r="AD21">
        <f t="shared" si="4"/>
        <v>5.5</v>
      </c>
      <c r="AE21">
        <f t="shared" si="4"/>
        <v>5.5</v>
      </c>
      <c r="AF21">
        <f t="shared" si="4"/>
        <v>0.35</v>
      </c>
      <c r="AG21">
        <f t="shared" si="4"/>
        <v>1.9</v>
      </c>
      <c r="AH21">
        <f t="shared" si="4"/>
        <v>1.45</v>
      </c>
      <c r="AI21">
        <f t="shared" si="4"/>
        <v>2.2000000000000002</v>
      </c>
    </row>
    <row r="22" spans="1:35" ht="15" thickBot="1" x14ac:dyDescent="0.35">
      <c r="A22" s="8" t="s">
        <v>18</v>
      </c>
      <c r="B22" s="8" t="s">
        <v>59</v>
      </c>
      <c r="C22" s="58" t="s">
        <v>20</v>
      </c>
      <c r="D22" s="8" t="s">
        <v>0</v>
      </c>
      <c r="E22" s="8" t="s">
        <v>1</v>
      </c>
      <c r="F22" s="8" t="s">
        <v>2</v>
      </c>
      <c r="G22" s="8" t="s">
        <v>3</v>
      </c>
      <c r="H22" s="8" t="s">
        <v>4</v>
      </c>
      <c r="I22" s="8" t="s">
        <v>5</v>
      </c>
      <c r="J22" s="8" t="s">
        <v>6</v>
      </c>
      <c r="K22" s="8" t="s">
        <v>7</v>
      </c>
      <c r="L22" s="8" t="s">
        <v>8</v>
      </c>
      <c r="M22" s="58" t="s">
        <v>9</v>
      </c>
      <c r="N22" s="58" t="s">
        <v>10</v>
      </c>
      <c r="O22" s="58" t="s">
        <v>11</v>
      </c>
      <c r="P22" s="58" t="s">
        <v>12</v>
      </c>
      <c r="Q22" s="58" t="s">
        <v>13</v>
      </c>
      <c r="R22" s="58" t="s">
        <v>14</v>
      </c>
      <c r="S22" s="58" t="s">
        <v>15</v>
      </c>
      <c r="T22" s="58" t="s">
        <v>16</v>
      </c>
      <c r="U22" s="59" t="s">
        <v>17</v>
      </c>
      <c r="Z22" t="s">
        <v>132</v>
      </c>
      <c r="AA22">
        <f>100*(AA20/AA21)</f>
        <v>33.662466474069994</v>
      </c>
      <c r="AB22">
        <f t="shared" ref="AB22:AI22" si="5">100*(AB20/AB21)</f>
        <v>29.255436517750205</v>
      </c>
      <c r="AC22">
        <f t="shared" si="5"/>
        <v>56.75703389769312</v>
      </c>
      <c r="AD22">
        <f t="shared" si="5"/>
        <v>99.148660402947044</v>
      </c>
      <c r="AE22">
        <f t="shared" si="5"/>
        <v>56.171402889242728</v>
      </c>
      <c r="AF22">
        <f t="shared" si="5"/>
        <v>99.964208971846858</v>
      </c>
      <c r="AG22">
        <f t="shared" si="5"/>
        <v>93.744367349246332</v>
      </c>
      <c r="AH22">
        <f t="shared" si="5"/>
        <v>97.403469458159464</v>
      </c>
      <c r="AI22">
        <f t="shared" si="5"/>
        <v>95.509474164098933</v>
      </c>
    </row>
    <row r="23" spans="1:35" x14ac:dyDescent="0.3">
      <c r="A23" s="52">
        <v>12345</v>
      </c>
      <c r="B23" s="10">
        <f t="shared" ref="B23:U23" si="6">(B2-B$17)/B$19</f>
        <v>0.57766706709544924</v>
      </c>
      <c r="C23" s="41">
        <f t="shared" si="6"/>
        <v>1</v>
      </c>
      <c r="D23" s="10">
        <f t="shared" si="6"/>
        <v>1</v>
      </c>
      <c r="E23" s="10">
        <f t="shared" si="6"/>
        <v>8.167303710477474E-5</v>
      </c>
      <c r="F23" s="10">
        <f t="shared" si="6"/>
        <v>0.99944249137628272</v>
      </c>
      <c r="G23" s="10">
        <f t="shared" si="6"/>
        <v>0.77323923366167602</v>
      </c>
      <c r="H23" s="10">
        <f t="shared" si="6"/>
        <v>0</v>
      </c>
      <c r="I23" s="10">
        <f t="shared" si="6"/>
        <v>0.99654487983911755</v>
      </c>
      <c r="J23" s="10">
        <f t="shared" si="6"/>
        <v>0</v>
      </c>
      <c r="K23" s="10">
        <f t="shared" si="6"/>
        <v>0</v>
      </c>
      <c r="L23" s="10">
        <f t="shared" si="6"/>
        <v>0</v>
      </c>
      <c r="M23" s="44">
        <f t="shared" si="6"/>
        <v>0</v>
      </c>
      <c r="N23" s="45">
        <f t="shared" si="6"/>
        <v>0.35918383891264172</v>
      </c>
      <c r="O23" s="45">
        <f t="shared" si="6"/>
        <v>0.60132763494465202</v>
      </c>
      <c r="P23" s="45">
        <f t="shared" si="6"/>
        <v>0.12820057331464138</v>
      </c>
      <c r="Q23" s="45">
        <f t="shared" si="6"/>
        <v>0.1895299463089172</v>
      </c>
      <c r="R23" s="45">
        <f t="shared" si="6"/>
        <v>3.5851909458570592E-2</v>
      </c>
      <c r="S23" s="45">
        <f t="shared" si="6"/>
        <v>6.0024332406861535E-4</v>
      </c>
      <c r="T23" s="45">
        <f t="shared" si="6"/>
        <v>2.507812029450927E-2</v>
      </c>
      <c r="U23" s="46">
        <f t="shared" si="6"/>
        <v>0.56249203146664295</v>
      </c>
    </row>
    <row r="24" spans="1:35" x14ac:dyDescent="0.3">
      <c r="A24" s="53">
        <v>24690</v>
      </c>
      <c r="B24" s="10">
        <f t="shared" ref="B24:U24" si="7">(B3-B$17)/B$19</f>
        <v>0</v>
      </c>
      <c r="C24" s="42">
        <f t="shared" si="7"/>
        <v>0</v>
      </c>
      <c r="D24" s="10">
        <f t="shared" si="7"/>
        <v>0</v>
      </c>
      <c r="E24" s="10">
        <f t="shared" si="7"/>
        <v>0.56508481544955691</v>
      </c>
      <c r="F24" s="10">
        <f t="shared" si="7"/>
        <v>4.9286710882143472E-3</v>
      </c>
      <c r="G24" s="10">
        <f t="shared" si="7"/>
        <v>0.60911136657423781</v>
      </c>
      <c r="H24" s="10">
        <f t="shared" si="7"/>
        <v>0.14794889133597769</v>
      </c>
      <c r="I24" s="10">
        <f t="shared" si="7"/>
        <v>0</v>
      </c>
      <c r="J24" s="10">
        <f t="shared" si="7"/>
        <v>0.24712050034375901</v>
      </c>
      <c r="K24" s="10">
        <f t="shared" si="7"/>
        <v>0.94656675329455409</v>
      </c>
      <c r="L24" s="10">
        <f t="shared" si="7"/>
        <v>0.47869394211020772</v>
      </c>
      <c r="M24" s="47">
        <f t="shared" si="7"/>
        <v>1</v>
      </c>
      <c r="N24" s="10">
        <f t="shared" si="7"/>
        <v>0.68715919567454697</v>
      </c>
      <c r="O24" s="10">
        <f t="shared" si="7"/>
        <v>0.45154348916195136</v>
      </c>
      <c r="P24" s="10">
        <f t="shared" si="7"/>
        <v>0</v>
      </c>
      <c r="Q24" s="10">
        <f t="shared" si="7"/>
        <v>0.99837051748094974</v>
      </c>
      <c r="R24" s="10">
        <f t="shared" si="7"/>
        <v>0.99878318784013453</v>
      </c>
      <c r="S24" s="10">
        <f t="shared" si="7"/>
        <v>1.9209676044535482E-4</v>
      </c>
      <c r="T24" s="10">
        <f t="shared" si="7"/>
        <v>9.1884340436242745E-2</v>
      </c>
      <c r="U24" s="48">
        <f t="shared" si="7"/>
        <v>1</v>
      </c>
      <c r="Y24" t="s">
        <v>134</v>
      </c>
      <c r="Z24" t="s">
        <v>130</v>
      </c>
      <c r="AA24" s="10">
        <f>AA18-AA14</f>
        <v>108.25670506356499</v>
      </c>
      <c r="AB24" s="10">
        <f t="shared" ref="AB24:AI24" si="8">AB18-AB14</f>
        <v>75.800181329982024</v>
      </c>
      <c r="AC24" s="10">
        <f t="shared" si="8"/>
        <v>27.3813719412165</v>
      </c>
      <c r="AD24" s="10">
        <f t="shared" si="8"/>
        <v>4.5214044068960701</v>
      </c>
      <c r="AE24" s="10">
        <f t="shared" si="8"/>
        <v>3.7599974178098599</v>
      </c>
      <c r="AF24" s="10">
        <f t="shared" si="8"/>
        <v>-1.1700889495602773E-4</v>
      </c>
      <c r="AG24" s="10">
        <f t="shared" si="8"/>
        <v>1.2313684765391399</v>
      </c>
      <c r="AH24" s="10">
        <f t="shared" si="8"/>
        <v>1.08355084659763</v>
      </c>
      <c r="AI24" s="10">
        <f t="shared" si="8"/>
        <v>1.5171317426222299</v>
      </c>
    </row>
    <row r="25" spans="1:35" x14ac:dyDescent="0.3">
      <c r="A25" s="52">
        <v>37035</v>
      </c>
      <c r="B25" s="10">
        <f t="shared" ref="B25:U25" si="9">(B4-B$17)/B$19</f>
        <v>0.86165278770960274</v>
      </c>
      <c r="C25" s="42">
        <f t="shared" si="9"/>
        <v>0.45755570134767282</v>
      </c>
      <c r="D25" s="10">
        <f t="shared" si="9"/>
        <v>9.4827643583014987E-2</v>
      </c>
      <c r="E25" s="10">
        <f t="shared" si="9"/>
        <v>0.33538046387795506</v>
      </c>
      <c r="F25" s="10">
        <f t="shared" si="9"/>
        <v>0.32574078567631715</v>
      </c>
      <c r="G25" s="10">
        <f t="shared" si="9"/>
        <v>0.15308288688363339</v>
      </c>
      <c r="H25" s="10">
        <f t="shared" si="9"/>
        <v>3.5181468057039214E-2</v>
      </c>
      <c r="I25" s="10">
        <f t="shared" si="9"/>
        <v>0.24954063501167509</v>
      </c>
      <c r="J25" s="10">
        <f t="shared" si="9"/>
        <v>0.87277989064627981</v>
      </c>
      <c r="K25" s="10">
        <f t="shared" si="9"/>
        <v>0.85148944051055686</v>
      </c>
      <c r="L25" s="10">
        <f t="shared" si="9"/>
        <v>0.82696912207264206</v>
      </c>
      <c r="M25" s="47">
        <f t="shared" si="9"/>
        <v>0.48891203718442572</v>
      </c>
      <c r="N25" s="10">
        <f t="shared" si="9"/>
        <v>0.38398275029845563</v>
      </c>
      <c r="O25" s="10">
        <f t="shared" si="9"/>
        <v>0.33688567465498365</v>
      </c>
      <c r="P25" s="10">
        <f t="shared" si="9"/>
        <v>0.24629971635343259</v>
      </c>
      <c r="Q25" s="10">
        <f t="shared" si="9"/>
        <v>0.44450172214932904</v>
      </c>
      <c r="R25" s="10">
        <f t="shared" si="9"/>
        <v>0</v>
      </c>
      <c r="S25" s="10">
        <f t="shared" si="9"/>
        <v>4.7036367088029241E-3</v>
      </c>
      <c r="T25" s="10">
        <f t="shared" si="9"/>
        <v>0.88761934092650396</v>
      </c>
      <c r="U25" s="48">
        <f t="shared" si="9"/>
        <v>0</v>
      </c>
      <c r="Z25" t="s">
        <v>131</v>
      </c>
      <c r="AA25">
        <f>AA15-AA14</f>
        <v>290</v>
      </c>
      <c r="AB25">
        <f t="shared" ref="AB25:AI25" si="10">AB15-AB14</f>
        <v>300</v>
      </c>
      <c r="AC25">
        <f t="shared" si="10"/>
        <v>50</v>
      </c>
      <c r="AD25">
        <f t="shared" si="10"/>
        <v>4.55</v>
      </c>
      <c r="AE25">
        <f t="shared" si="10"/>
        <v>3.76</v>
      </c>
      <c r="AF25">
        <f t="shared" si="10"/>
        <v>0</v>
      </c>
      <c r="AG25">
        <f t="shared" si="10"/>
        <v>1.35</v>
      </c>
      <c r="AH25">
        <f t="shared" si="10"/>
        <v>1.0900000000000001</v>
      </c>
      <c r="AI25">
        <f t="shared" si="10"/>
        <v>1.52</v>
      </c>
    </row>
    <row r="26" spans="1:35" x14ac:dyDescent="0.3">
      <c r="A26" s="53">
        <v>49380</v>
      </c>
      <c r="B26" s="10">
        <f t="shared" ref="B26:U26" si="11">(B5-B$17)/B$19</f>
        <v>0.19123262349554462</v>
      </c>
      <c r="C26" s="42">
        <f t="shared" si="11"/>
        <v>0.85032868880228274</v>
      </c>
      <c r="D26" s="10">
        <f t="shared" si="11"/>
        <v>9.0804202698139436E-2</v>
      </c>
      <c r="E26" s="10">
        <f t="shared" si="11"/>
        <v>0.2218636057516413</v>
      </c>
      <c r="F26" s="10">
        <f t="shared" si="11"/>
        <v>0.34829824361674816</v>
      </c>
      <c r="G26" s="10">
        <f t="shared" si="11"/>
        <v>4.5604990573167449E-2</v>
      </c>
      <c r="H26" s="10">
        <f t="shared" si="11"/>
        <v>0.14894321566829535</v>
      </c>
      <c r="I26" s="10">
        <f t="shared" si="11"/>
        <v>0.23227376767740676</v>
      </c>
      <c r="J26" s="10">
        <f t="shared" si="11"/>
        <v>0.88670172654256996</v>
      </c>
      <c r="K26" s="10">
        <f t="shared" si="11"/>
        <v>0.90073231548714205</v>
      </c>
      <c r="L26" s="10">
        <f t="shared" si="11"/>
        <v>0.82776850118646195</v>
      </c>
      <c r="M26" s="47">
        <f t="shared" si="11"/>
        <v>0.61126355886741868</v>
      </c>
      <c r="N26" s="10">
        <f t="shared" si="11"/>
        <v>1</v>
      </c>
      <c r="O26" s="10">
        <f t="shared" si="11"/>
        <v>1</v>
      </c>
      <c r="P26" s="10">
        <f t="shared" si="11"/>
        <v>1</v>
      </c>
      <c r="Q26" s="10">
        <f t="shared" si="11"/>
        <v>0.78214460059334356</v>
      </c>
      <c r="R26" s="10">
        <f t="shared" si="11"/>
        <v>0.29111295612306348</v>
      </c>
      <c r="S26" s="10">
        <f t="shared" si="11"/>
        <v>1</v>
      </c>
      <c r="T26" s="10">
        <f t="shared" si="11"/>
        <v>0.61149587719290754</v>
      </c>
      <c r="U26" s="48">
        <f t="shared" si="11"/>
        <v>0.5797435979064044</v>
      </c>
      <c r="Z26" t="s">
        <v>132</v>
      </c>
      <c r="AA26">
        <f>100*(AA24/AA25)</f>
        <v>37.329898297781035</v>
      </c>
      <c r="AB26">
        <f t="shared" ref="AB26:AI26" si="12">100*(AB24/AB25)</f>
        <v>25.266727109994008</v>
      </c>
      <c r="AC26">
        <f t="shared" si="12"/>
        <v>54.762743882432993</v>
      </c>
      <c r="AD26">
        <f t="shared" si="12"/>
        <v>99.371525426287249</v>
      </c>
      <c r="AE26">
        <f t="shared" si="12"/>
        <v>99.999931324730312</v>
      </c>
      <c r="AF26" t="s">
        <v>135</v>
      </c>
      <c r="AG26">
        <f t="shared" si="12"/>
        <v>91.212479743639989</v>
      </c>
      <c r="AH26">
        <f t="shared" si="12"/>
        <v>99.408334550241278</v>
      </c>
      <c r="AI26">
        <f t="shared" si="12"/>
        <v>99.811298856725656</v>
      </c>
    </row>
    <row r="27" spans="1:35" x14ac:dyDescent="0.3">
      <c r="A27" s="52">
        <v>61725</v>
      </c>
      <c r="B27" s="10">
        <f t="shared" ref="B27:U27" si="13">(B6-B$17)/B$19</f>
        <v>0.8045775362998745</v>
      </c>
      <c r="C27" s="42">
        <f t="shared" si="13"/>
        <v>0.10346292799299334</v>
      </c>
      <c r="D27" s="10">
        <f t="shared" si="13"/>
        <v>0.61058118210595025</v>
      </c>
      <c r="E27" s="10">
        <f t="shared" si="13"/>
        <v>1.7743989746884278E-2</v>
      </c>
      <c r="F27" s="10">
        <f t="shared" si="13"/>
        <v>0.59484483579861691</v>
      </c>
      <c r="G27" s="10">
        <f t="shared" si="13"/>
        <v>0.37593068239866895</v>
      </c>
      <c r="H27" s="10">
        <f t="shared" si="13"/>
        <v>0.38746695639955925</v>
      </c>
      <c r="I27" s="10">
        <f t="shared" si="13"/>
        <v>0.93295670310037293</v>
      </c>
      <c r="J27" s="10">
        <f t="shared" si="13"/>
        <v>0.8261214756545211</v>
      </c>
      <c r="K27" s="10">
        <f t="shared" si="13"/>
        <v>0.14009667987759186</v>
      </c>
      <c r="L27" s="10">
        <f t="shared" si="13"/>
        <v>0.9612411237119729</v>
      </c>
      <c r="M27" s="47">
        <f t="shared" si="13"/>
        <v>0.46768371242883944</v>
      </c>
      <c r="N27" s="10">
        <f t="shared" si="13"/>
        <v>3.5264980712116152E-2</v>
      </c>
      <c r="O27" s="10">
        <f t="shared" si="13"/>
        <v>0.80749622280638889</v>
      </c>
      <c r="P27" s="10">
        <f t="shared" si="13"/>
        <v>2.6602506275219089E-2</v>
      </c>
      <c r="Q27" s="10">
        <f t="shared" si="13"/>
        <v>0.99630525362316913</v>
      </c>
      <c r="R27" s="10">
        <f t="shared" si="13"/>
        <v>1</v>
      </c>
      <c r="S27" s="10">
        <f t="shared" si="13"/>
        <v>3.2588389387961091E-4</v>
      </c>
      <c r="T27" s="10">
        <f t="shared" si="13"/>
        <v>0.91060519400537188</v>
      </c>
      <c r="U27" s="48">
        <f t="shared" si="13"/>
        <v>0.55392895656024632</v>
      </c>
    </row>
    <row r="28" spans="1:35" x14ac:dyDescent="0.3">
      <c r="A28" s="53">
        <v>74070</v>
      </c>
      <c r="B28" s="10">
        <f t="shared" ref="B28:U28" si="14">(B7-B$17)/B$19</f>
        <v>0.27926330615319017</v>
      </c>
      <c r="C28" s="42">
        <f t="shared" si="14"/>
        <v>0.54892097858608468</v>
      </c>
      <c r="D28" s="10">
        <f t="shared" si="14"/>
        <v>0.35203962433682878</v>
      </c>
      <c r="E28" s="10">
        <f t="shared" si="14"/>
        <v>0.1236640144294518</v>
      </c>
      <c r="F28" s="10">
        <f t="shared" si="14"/>
        <v>2.2118450633736193E-2</v>
      </c>
      <c r="G28" s="10">
        <f t="shared" si="14"/>
        <v>0.6987449561894632</v>
      </c>
      <c r="H28" s="10">
        <f t="shared" si="14"/>
        <v>0.26794961875472201</v>
      </c>
      <c r="I28" s="10">
        <f t="shared" si="14"/>
        <v>0.86947135247003071</v>
      </c>
      <c r="J28" s="10">
        <f t="shared" si="14"/>
        <v>0.50380247166595882</v>
      </c>
      <c r="K28" s="10">
        <f t="shared" si="14"/>
        <v>1</v>
      </c>
      <c r="L28" s="10">
        <f t="shared" si="14"/>
        <v>1</v>
      </c>
      <c r="M28" s="47">
        <f t="shared" si="14"/>
        <v>0.73709087524849581</v>
      </c>
      <c r="N28" s="10">
        <f t="shared" si="14"/>
        <v>0</v>
      </c>
      <c r="O28" s="10">
        <f t="shared" si="14"/>
        <v>0</v>
      </c>
      <c r="P28" s="10">
        <f t="shared" si="14"/>
        <v>2.8589683977392217E-2</v>
      </c>
      <c r="Q28" s="10">
        <f t="shared" si="14"/>
        <v>1</v>
      </c>
      <c r="R28" s="10">
        <f t="shared" si="14"/>
        <v>0.39026101865965351</v>
      </c>
      <c r="S28" s="10">
        <f t="shared" si="14"/>
        <v>0</v>
      </c>
      <c r="T28" s="10">
        <f t="shared" si="14"/>
        <v>0.13322281639933659</v>
      </c>
      <c r="U28" s="48">
        <f t="shared" si="14"/>
        <v>0.49061744509161626</v>
      </c>
      <c r="Y28" t="s">
        <v>136</v>
      </c>
      <c r="Z28" t="s">
        <v>130</v>
      </c>
      <c r="AA28" s="10">
        <f>AA14-AA17</f>
        <v>60.055627306784999</v>
      </c>
      <c r="AB28" s="10">
        <f t="shared" ref="AB28:AI28" si="15">AB14-AB17</f>
        <v>70.477001258769008</v>
      </c>
      <c r="AC28" s="10">
        <f t="shared" si="15"/>
        <v>18.024255176937999</v>
      </c>
      <c r="AD28" s="10">
        <f t="shared" si="15"/>
        <v>0.93177191526601699</v>
      </c>
      <c r="AE28" s="10">
        <f t="shared" si="15"/>
        <v>-0.67057025890150967</v>
      </c>
      <c r="AF28" s="10">
        <f t="shared" si="15"/>
        <v>0.34999174029642</v>
      </c>
      <c r="AG28" s="10">
        <f t="shared" si="15"/>
        <v>0.54977450309653997</v>
      </c>
      <c r="AH28" s="10">
        <f t="shared" si="15"/>
        <v>0.3287994605456821</v>
      </c>
      <c r="AI28" s="10">
        <f t="shared" si="15"/>
        <v>0.58407668898794696</v>
      </c>
    </row>
    <row r="29" spans="1:35" x14ac:dyDescent="0.3">
      <c r="A29" s="52">
        <v>86415</v>
      </c>
      <c r="B29" s="10">
        <f t="shared" ref="B29:U29" si="16">(B8-B$17)/B$19</f>
        <v>1</v>
      </c>
      <c r="C29" s="42">
        <f t="shared" si="16"/>
        <v>0.30538824528130476</v>
      </c>
      <c r="D29" s="10">
        <f t="shared" si="16"/>
        <v>4.2910378710609015E-2</v>
      </c>
      <c r="E29" s="10">
        <f t="shared" si="16"/>
        <v>0.22660563530226732</v>
      </c>
      <c r="F29" s="10">
        <f t="shared" si="16"/>
        <v>5.1668125491660004E-4</v>
      </c>
      <c r="G29" s="10">
        <f t="shared" si="16"/>
        <v>3.5292514696789491E-2</v>
      </c>
      <c r="H29" s="10">
        <f t="shared" si="16"/>
        <v>2.4213556171417258E-3</v>
      </c>
      <c r="I29" s="10">
        <f t="shared" si="16"/>
        <v>0.15409767555634624</v>
      </c>
      <c r="J29" s="10">
        <f t="shared" si="16"/>
        <v>0.90313772698387296</v>
      </c>
      <c r="K29" s="10">
        <f t="shared" si="16"/>
        <v>0.94024815391234073</v>
      </c>
      <c r="L29" s="10">
        <f t="shared" si="16"/>
        <v>0.71308600863609339</v>
      </c>
      <c r="M29" s="47">
        <f t="shared" si="16"/>
        <v>0.32081138053768105</v>
      </c>
      <c r="N29" s="10">
        <f t="shared" si="16"/>
        <v>0.30226279568701608</v>
      </c>
      <c r="O29" s="10">
        <f t="shared" si="16"/>
        <v>0.25027054334274274</v>
      </c>
      <c r="P29" s="10">
        <f t="shared" si="16"/>
        <v>0.11866411107947354</v>
      </c>
      <c r="Q29" s="10">
        <f t="shared" si="16"/>
        <v>0</v>
      </c>
      <c r="R29" s="10">
        <f t="shared" si="16"/>
        <v>6.4070127793333549E-3</v>
      </c>
      <c r="S29" s="10">
        <f t="shared" si="16"/>
        <v>2.2587032951653836E-2</v>
      </c>
      <c r="T29" s="10">
        <f t="shared" si="16"/>
        <v>1</v>
      </c>
      <c r="U29" s="48">
        <f t="shared" si="16"/>
        <v>3.1267399359640623E-4</v>
      </c>
      <c r="Z29" t="s">
        <v>131</v>
      </c>
      <c r="AA29">
        <f>AA14-AA13</f>
        <v>210</v>
      </c>
      <c r="AB29">
        <f t="shared" ref="AB29:AI29" si="17">AB14-AB13</f>
        <v>200</v>
      </c>
      <c r="AC29">
        <f t="shared" si="17"/>
        <v>30</v>
      </c>
      <c r="AD29">
        <f t="shared" si="17"/>
        <v>0.95</v>
      </c>
      <c r="AE29">
        <f t="shared" si="17"/>
        <v>1.7400000000000002</v>
      </c>
      <c r="AF29">
        <f t="shared" si="17"/>
        <v>0.35</v>
      </c>
      <c r="AG29">
        <f t="shared" si="17"/>
        <v>0.55000000000000004</v>
      </c>
      <c r="AH29">
        <f t="shared" si="17"/>
        <v>0.36</v>
      </c>
      <c r="AI29">
        <f t="shared" si="17"/>
        <v>0.67999999999999994</v>
      </c>
    </row>
    <row r="30" spans="1:35" x14ac:dyDescent="0.3">
      <c r="A30" s="53">
        <v>98760</v>
      </c>
      <c r="B30" s="10">
        <f t="shared" ref="B30:U30" si="18">(B9-B$17)/B$19</f>
        <v>0.5151046553082238</v>
      </c>
      <c r="C30" s="42">
        <f t="shared" si="18"/>
        <v>0.73707526175211369</v>
      </c>
      <c r="D30" s="10">
        <f t="shared" si="18"/>
        <v>0.45796048121650085</v>
      </c>
      <c r="E30" s="10">
        <f t="shared" si="18"/>
        <v>0.72049162551017998</v>
      </c>
      <c r="F30" s="10">
        <f t="shared" si="18"/>
        <v>0.11468813287025763</v>
      </c>
      <c r="G30" s="10">
        <f t="shared" si="18"/>
        <v>1</v>
      </c>
      <c r="H30" s="10">
        <f t="shared" si="18"/>
        <v>0.13112773022749816</v>
      </c>
      <c r="I30" s="10">
        <f t="shared" si="18"/>
        <v>1.3186320912202353E-2</v>
      </c>
      <c r="J30" s="10">
        <f t="shared" si="18"/>
        <v>2.009274811181443E-2</v>
      </c>
      <c r="K30" s="10">
        <f t="shared" si="18"/>
        <v>0.45829502674836275</v>
      </c>
      <c r="L30" s="10">
        <f t="shared" si="18"/>
        <v>0.98219836676943839</v>
      </c>
      <c r="M30" s="47">
        <f t="shared" si="18"/>
        <v>0.25284459319722946</v>
      </c>
      <c r="N30" s="10">
        <f t="shared" si="18"/>
        <v>0.28609022987603838</v>
      </c>
      <c r="O30" s="10">
        <f t="shared" si="18"/>
        <v>0.22312826686145296</v>
      </c>
      <c r="P30" s="10">
        <f t="shared" si="18"/>
        <v>0.15821824209300192</v>
      </c>
      <c r="Q30" s="10">
        <f t="shared" si="18"/>
        <v>0.46028826417447366</v>
      </c>
      <c r="R30" s="10">
        <f t="shared" si="18"/>
        <v>0.63273197114099067</v>
      </c>
      <c r="S30" s="10">
        <f t="shared" si="18"/>
        <v>5.5047296666863782E-2</v>
      </c>
      <c r="T30" s="10">
        <f t="shared" si="18"/>
        <v>0.25979385199795729</v>
      </c>
      <c r="U30" s="48">
        <f t="shared" si="18"/>
        <v>0.19618216926497342</v>
      </c>
      <c r="Z30" t="s">
        <v>132</v>
      </c>
      <c r="AA30">
        <f>100*(AA28/AA29)</f>
        <v>28.597917765135715</v>
      </c>
      <c r="AB30">
        <f t="shared" ref="AB30:AI30" si="19">100*(AB28/AB29)</f>
        <v>35.238500629384504</v>
      </c>
      <c r="AC30">
        <f t="shared" si="19"/>
        <v>60.080850589793336</v>
      </c>
      <c r="AD30">
        <f t="shared" si="19"/>
        <v>98.081254238528103</v>
      </c>
      <c r="AE30">
        <f t="shared" si="19"/>
        <v>-38.538520626523542</v>
      </c>
      <c r="AF30">
        <f t="shared" si="19"/>
        <v>99.997640084691426</v>
      </c>
      <c r="AG30">
        <f t="shared" si="19"/>
        <v>99.959000563007265</v>
      </c>
      <c r="AH30">
        <f t="shared" si="19"/>
        <v>91.3331834849117</v>
      </c>
      <c r="AI30">
        <f t="shared" si="19"/>
        <v>85.893630733521618</v>
      </c>
    </row>
    <row r="31" spans="1:35" x14ac:dyDescent="0.3">
      <c r="A31" s="52">
        <v>111105</v>
      </c>
      <c r="B31" s="10">
        <f t="shared" ref="B31:U31" si="20">(B10-B$17)/B$19</f>
        <v>0.10496480380491877</v>
      </c>
      <c r="C31" s="42">
        <f t="shared" si="20"/>
        <v>0.49936834627956128</v>
      </c>
      <c r="D31" s="10">
        <f t="shared" si="20"/>
        <v>2.7885162002687234E-2</v>
      </c>
      <c r="E31" s="10">
        <f t="shared" si="20"/>
        <v>0</v>
      </c>
      <c r="F31" s="10">
        <f t="shared" si="20"/>
        <v>0</v>
      </c>
      <c r="G31" s="10">
        <f t="shared" si="20"/>
        <v>0</v>
      </c>
      <c r="H31" s="10">
        <f t="shared" si="20"/>
        <v>1</v>
      </c>
      <c r="I31" s="10">
        <f t="shared" si="20"/>
        <v>0.72047243528274851</v>
      </c>
      <c r="J31" s="10">
        <f t="shared" si="20"/>
        <v>1</v>
      </c>
      <c r="K31" s="10">
        <f t="shared" si="20"/>
        <v>0.41702301033121214</v>
      </c>
      <c r="L31" s="10">
        <f t="shared" si="20"/>
        <v>0.26692585966159904</v>
      </c>
      <c r="M31" s="47">
        <f t="shared" si="20"/>
        <v>0.46345534761614088</v>
      </c>
      <c r="N31" s="10">
        <f t="shared" si="20"/>
        <v>0.37216312086978548</v>
      </c>
      <c r="O31" s="10">
        <f t="shared" si="20"/>
        <v>0.46803986637087469</v>
      </c>
      <c r="P31" s="10">
        <f t="shared" si="20"/>
        <v>0.1012535140496169</v>
      </c>
      <c r="Q31" s="10">
        <f t="shared" si="20"/>
        <v>0.85413681459583868</v>
      </c>
      <c r="R31" s="10">
        <f t="shared" si="20"/>
        <v>0.37283574678150694</v>
      </c>
      <c r="S31" s="10">
        <f t="shared" si="20"/>
        <v>3.6913149653897037E-3</v>
      </c>
      <c r="T31" s="10">
        <f t="shared" si="20"/>
        <v>6.8439502375498756E-2</v>
      </c>
      <c r="U31" s="48">
        <f t="shared" si="20"/>
        <v>0.39935301806207207</v>
      </c>
    </row>
    <row r="32" spans="1:35" ht="15" thickBot="1" x14ac:dyDescent="0.35">
      <c r="A32" s="53">
        <v>123450</v>
      </c>
      <c r="B32" s="10">
        <f t="shared" ref="B32:U32" si="21">(B11-B$17)/B$19</f>
        <v>0.25375865380727897</v>
      </c>
      <c r="C32" s="43">
        <f t="shared" si="21"/>
        <v>0.1765914397890751</v>
      </c>
      <c r="D32" s="10">
        <f t="shared" si="21"/>
        <v>0.94932709028905304</v>
      </c>
      <c r="E32" s="10">
        <f t="shared" si="21"/>
        <v>1</v>
      </c>
      <c r="F32" s="10">
        <f t="shared" si="21"/>
        <v>1</v>
      </c>
      <c r="G32" s="10">
        <f t="shared" si="21"/>
        <v>0.87041102180181451</v>
      </c>
      <c r="H32" s="10">
        <f t="shared" si="21"/>
        <v>8.6803403438864384E-3</v>
      </c>
      <c r="I32" s="10">
        <f t="shared" si="21"/>
        <v>1</v>
      </c>
      <c r="J32" s="10">
        <f t="shared" si="21"/>
        <v>0.19378615422520684</v>
      </c>
      <c r="K32" s="10">
        <f t="shared" si="21"/>
        <v>0.48565427920201104</v>
      </c>
      <c r="L32" s="10">
        <f t="shared" si="21"/>
        <v>0.72646094987826793</v>
      </c>
      <c r="M32" s="49">
        <f t="shared" si="21"/>
        <v>0.51924583837414406</v>
      </c>
      <c r="N32" s="50">
        <f t="shared" si="21"/>
        <v>0.19630970984472096</v>
      </c>
      <c r="O32" s="50">
        <f t="shared" si="21"/>
        <v>0.10629533406824947</v>
      </c>
      <c r="P32" s="50">
        <f t="shared" si="21"/>
        <v>0.18075708301099724</v>
      </c>
      <c r="Q32" s="50">
        <f t="shared" si="21"/>
        <v>0.477005053481032</v>
      </c>
      <c r="R32" s="50">
        <f t="shared" si="21"/>
        <v>0.9762266339992931</v>
      </c>
      <c r="S32" s="50">
        <f t="shared" si="21"/>
        <v>1.6125308328467695E-2</v>
      </c>
      <c r="T32" s="50">
        <f t="shared" si="21"/>
        <v>0</v>
      </c>
      <c r="U32" s="51">
        <f t="shared" si="21"/>
        <v>0.6642825052295287</v>
      </c>
      <c r="X32" t="s">
        <v>137</v>
      </c>
      <c r="Y32">
        <f t="shared" ref="Y32:AI32" si="22">CORREL($Z$2:$Z$11,Y2:Y11)</f>
        <v>6.5264090807847022E-3</v>
      </c>
      <c r="Z32">
        <f t="shared" si="22"/>
        <v>0.99999999999999978</v>
      </c>
      <c r="AA32">
        <f t="shared" si="22"/>
        <v>-0.58608019031096492</v>
      </c>
      <c r="AB32">
        <f t="shared" si="22"/>
        <v>0.2487237895049676</v>
      </c>
      <c r="AC32">
        <f t="shared" si="22"/>
        <v>0.21354987946022019</v>
      </c>
      <c r="AD32">
        <f t="shared" si="22"/>
        <v>0.4806215384089379</v>
      </c>
      <c r="AE32">
        <f t="shared" si="22"/>
        <v>-0.32228779529157164</v>
      </c>
      <c r="AF32">
        <f t="shared" si="22"/>
        <v>-0.63673419378023133</v>
      </c>
      <c r="AG32">
        <f t="shared" si="22"/>
        <v>0.42008726573173627</v>
      </c>
      <c r="AH32">
        <f t="shared" si="22"/>
        <v>-0.17915655715374673</v>
      </c>
      <c r="AI32">
        <f t="shared" si="22"/>
        <v>-0.25894728122590877</v>
      </c>
    </row>
    <row r="33" spans="1:27" ht="15" thickBot="1" x14ac:dyDescent="0.35"/>
    <row r="34" spans="1:27" x14ac:dyDescent="0.3">
      <c r="A34" s="55" t="s">
        <v>36</v>
      </c>
      <c r="B34" s="60">
        <f>AVERAGE(Table4[best_difference_vector_cosine])</f>
        <v>0.45882214336740823</v>
      </c>
      <c r="C34" s="61">
        <f>AVERAGE(Table4[best_pearson_r])</f>
        <v>0.46786915898310877</v>
      </c>
      <c r="D34" s="61">
        <f>AVERAGE(Table4[seed_a_e])</f>
        <v>0.36263357649427835</v>
      </c>
      <c r="E34" s="61">
        <f>AVERAGE(Table4[seed_b_e])</f>
        <v>0.32109158231050416</v>
      </c>
      <c r="F34" s="61">
        <f>AVERAGE(Table4[seed_d_e])</f>
        <v>0.34105782923150901</v>
      </c>
      <c r="G34" s="61">
        <f>AVERAGE(Table4[seed_c_I_sst])</f>
        <v>0.45614176527794503</v>
      </c>
      <c r="H34" s="61">
        <f>AVERAGE(Table4[seed_c_I_vip])</f>
        <v>0.21297195764041196</v>
      </c>
      <c r="I34" s="61">
        <f>AVERAGE(Table4[seed_c_I_pv])</f>
        <v>0.51685437698499004</v>
      </c>
      <c r="J34" s="61">
        <f>AVERAGE(Table4[seed_r_0_sst])</f>
        <v>0.5453542694173984</v>
      </c>
      <c r="K34" s="61">
        <f>AVERAGE(Table4[seed_r_0_vip])</f>
        <v>0.61401056593637704</v>
      </c>
      <c r="L34" s="61">
        <f>AVERAGE(Table4[seed_r_0_pv])</f>
        <v>0.67833438740266838</v>
      </c>
      <c r="M34" s="61">
        <f>AVERAGE(Table4[I_background_e])</f>
        <v>0.48613073434543752</v>
      </c>
      <c r="N34" s="61">
        <f>AVERAGE(Table4[I_background_i])</f>
        <v>0.36224166218753212</v>
      </c>
      <c r="O34" s="61">
        <f>AVERAGE(Table4[I_background_dend])</f>
        <v>0.42449870322112959</v>
      </c>
      <c r="P34" s="61">
        <f>AVERAGE(Table4[mu_ee])</f>
        <v>0.19885854301537748</v>
      </c>
      <c r="Q34" s="61">
        <f>AVERAGE(Table4[mu_ie])</f>
        <v>0.6202282172407052</v>
      </c>
      <c r="R34" s="61">
        <f>AVERAGE(Table4[e_grad_min])</f>
        <v>0.4704210436782546</v>
      </c>
      <c r="S34" s="61">
        <f>AVERAGE(Table4[balloon_kappa])</f>
        <v>0.11032728135995713</v>
      </c>
      <c r="T34" s="61">
        <f>AVERAGE(Table4[balloon_gamma])</f>
        <v>0.39881390436283282</v>
      </c>
      <c r="U34" s="61">
        <f>AVERAGE(Table4[balloon_tau])</f>
        <v>0.44469123975750807</v>
      </c>
    </row>
    <row r="35" spans="1:27" x14ac:dyDescent="0.3">
      <c r="A35" s="56" t="s">
        <v>37</v>
      </c>
      <c r="B35" s="60">
        <f>_xlfn.STDEV.P(Table4[best_difference_vector_cosine])</f>
        <v>0.32766049002631198</v>
      </c>
      <c r="C35" s="61">
        <f>_xlfn.STDEV.P(Table4[best_pearson_r])</f>
        <v>0.31185166689899968</v>
      </c>
      <c r="D35" s="61">
        <f>_xlfn.STDEV.P(Table4[seed_a_e])</f>
        <v>0.36228669087115023</v>
      </c>
      <c r="E35" s="61">
        <f>_xlfn.STDEV.P(Table4[seed_b_e])</f>
        <v>0.32188387069587915</v>
      </c>
      <c r="F35" s="61">
        <f>_xlfn.STDEV.P(Table4[seed_d_e])</f>
        <v>0.37823367404834241</v>
      </c>
      <c r="G35" s="61">
        <f>_xlfn.STDEV.P(Table4[seed_c_I_sst])</f>
        <v>0.36086090876032606</v>
      </c>
      <c r="H35" s="61">
        <f>_xlfn.STDEV.P(Table4[seed_c_I_vip])</f>
        <v>0.28826090224350165</v>
      </c>
      <c r="I35" s="61">
        <f>_xlfn.STDEV.P(Table4[seed_c_I_pv])</f>
        <v>0.40091495412625</v>
      </c>
      <c r="J35" s="61">
        <f>_xlfn.STDEV.P(Table4[seed_r_0_sst])</f>
        <v>0.37747166891495609</v>
      </c>
      <c r="K35" s="61">
        <f>_xlfn.STDEV.P(Table4[seed_r_0_vip])</f>
        <v>0.34434693425886703</v>
      </c>
      <c r="L35" s="61">
        <f>_xlfn.STDEV.P(Table4[seed_r_0_pv])</f>
        <v>0.31512470719825164</v>
      </c>
      <c r="M35" s="61">
        <f>_xlfn.STDEV.P(Table4[I_background_e])</f>
        <v>0.25743652675776024</v>
      </c>
      <c r="N35" s="61">
        <f>_xlfn.STDEV.P(Table4[I_background_i])</f>
        <v>0.28070451572526506</v>
      </c>
      <c r="O35" s="61">
        <f>_xlfn.STDEV.P(Table4[I_background_dend])</f>
        <v>0.2952657527241544</v>
      </c>
      <c r="P35" s="61">
        <f>_xlfn.STDEV.P(Table4[mu_ee])</f>
        <v>0.27662544711168008</v>
      </c>
      <c r="Q35" s="61">
        <f>_xlfn.STDEV.P(Table4[mu_ie])</f>
        <v>0.34010877627113539</v>
      </c>
      <c r="R35" s="61">
        <f>_xlfn.STDEV.P(Table4[e_grad_min])</f>
        <v>0.38927622331744771</v>
      </c>
      <c r="S35" s="61">
        <f>_xlfn.STDEV.P(Table4[balloon_kappa])</f>
        <v>0.29700430430749208</v>
      </c>
      <c r="T35" s="61">
        <f>_xlfn.STDEV.P(Table4[balloon_gamma])</f>
        <v>0.3872297241166594</v>
      </c>
      <c r="U35" s="61">
        <f>_xlfn.STDEV.P(Table4[balloon_tau])</f>
        <v>0.29356112226284808</v>
      </c>
    </row>
    <row r="36" spans="1:27" ht="15" thickBot="1" x14ac:dyDescent="0.35">
      <c r="A36" s="57" t="s">
        <v>60</v>
      </c>
      <c r="B36" s="60">
        <f>B35/B34</f>
        <v>0.71413399453986959</v>
      </c>
      <c r="C36" s="61">
        <f t="shared" ref="C36:U36" si="23">C35/C34</f>
        <v>0.66653606229740459</v>
      </c>
      <c r="D36" s="61">
        <f t="shared" si="23"/>
        <v>0.99904342662783296</v>
      </c>
      <c r="E36" s="61">
        <f t="shared" si="23"/>
        <v>1.0024674841354415</v>
      </c>
      <c r="F36" s="61">
        <f t="shared" si="23"/>
        <v>1.1090015875037971</v>
      </c>
      <c r="G36" s="61">
        <f t="shared" si="23"/>
        <v>0.79111569303556184</v>
      </c>
      <c r="H36" s="61">
        <f t="shared" si="23"/>
        <v>1.3535157653488339</v>
      </c>
      <c r="I36" s="61">
        <f t="shared" si="23"/>
        <v>0.77568261386300108</v>
      </c>
      <c r="J36" s="61">
        <f t="shared" si="23"/>
        <v>0.692158639040653</v>
      </c>
      <c r="K36" s="61">
        <f t="shared" si="23"/>
        <v>0.56081597510253234</v>
      </c>
      <c r="L36" s="61">
        <f t="shared" si="23"/>
        <v>0.46455658602958216</v>
      </c>
      <c r="M36" s="61">
        <f t="shared" si="23"/>
        <v>0.52956233492291305</v>
      </c>
      <c r="N36" s="61">
        <f t="shared" si="23"/>
        <v>0.77490952871109742</v>
      </c>
      <c r="O36" s="61">
        <f t="shared" si="23"/>
        <v>0.69556337977867688</v>
      </c>
      <c r="P36" s="61">
        <f t="shared" si="23"/>
        <v>1.3910664481248312</v>
      </c>
      <c r="Q36" s="61">
        <f t="shared" si="23"/>
        <v>0.54836069501033702</v>
      </c>
      <c r="R36" s="61">
        <f t="shared" si="23"/>
        <v>0.82750597267858184</v>
      </c>
      <c r="S36" s="61">
        <f t="shared" si="23"/>
        <v>2.692029574611531</v>
      </c>
      <c r="T36" s="61">
        <f t="shared" si="23"/>
        <v>0.97095341932804236</v>
      </c>
      <c r="U36" s="61">
        <f t="shared" si="23"/>
        <v>0.66014595300534396</v>
      </c>
    </row>
    <row r="41" spans="1:27" ht="15" thickBot="1" x14ac:dyDescent="0.35"/>
    <row r="42" spans="1:27" ht="15" thickBot="1" x14ac:dyDescent="0.35">
      <c r="A42" s="27" t="s">
        <v>40</v>
      </c>
    </row>
    <row r="43" spans="1:27" ht="15" thickBot="1" x14ac:dyDescent="0.35">
      <c r="A43" s="30" t="s">
        <v>50</v>
      </c>
      <c r="B43" s="28" t="s">
        <v>41</v>
      </c>
      <c r="C43" s="20" t="s">
        <v>42</v>
      </c>
      <c r="D43" s="20" t="s">
        <v>43</v>
      </c>
      <c r="E43" s="20" t="s">
        <v>44</v>
      </c>
      <c r="F43" s="20" t="s">
        <v>45</v>
      </c>
      <c r="G43" s="20" t="s">
        <v>46</v>
      </c>
      <c r="H43" s="20" t="s">
        <v>47</v>
      </c>
      <c r="I43" s="20" t="s">
        <v>48</v>
      </c>
      <c r="J43" s="21" t="s">
        <v>49</v>
      </c>
    </row>
    <row r="44" spans="1:27" ht="15" thickBot="1" x14ac:dyDescent="0.35">
      <c r="A44" s="31" t="s">
        <v>51</v>
      </c>
      <c r="B44" s="29">
        <v>0.13500000000000001</v>
      </c>
      <c r="C44" s="22">
        <v>54</v>
      </c>
      <c r="D44" s="22">
        <v>0.308</v>
      </c>
      <c r="E44" s="22">
        <v>132</v>
      </c>
      <c r="F44" s="22">
        <v>132</v>
      </c>
      <c r="G44" s="22">
        <v>330</v>
      </c>
      <c r="H44" s="22">
        <v>-33</v>
      </c>
      <c r="I44" s="22">
        <v>-33</v>
      </c>
      <c r="J44" s="22">
        <v>-95</v>
      </c>
    </row>
    <row r="46" spans="1:27" ht="15" thickBot="1" x14ac:dyDescent="0.35"/>
    <row r="47" spans="1:27" ht="30.75" customHeight="1" thickBot="1" x14ac:dyDescent="0.35">
      <c r="A47" s="30" t="s">
        <v>62</v>
      </c>
      <c r="L47" s="75" t="s">
        <v>64</v>
      </c>
      <c r="Y47" s="74" t="s">
        <v>66</v>
      </c>
    </row>
    <row r="48" spans="1:27" ht="15" thickBot="1" x14ac:dyDescent="0.35">
      <c r="A48" t="s">
        <v>18</v>
      </c>
      <c r="B48" t="s">
        <v>0</v>
      </c>
      <c r="C48" t="s">
        <v>1</v>
      </c>
      <c r="D48" t="s">
        <v>2</v>
      </c>
      <c r="E48" t="s">
        <v>3</v>
      </c>
      <c r="F48" t="s">
        <v>4</v>
      </c>
      <c r="G48" t="s">
        <v>5</v>
      </c>
      <c r="H48" t="s">
        <v>6</v>
      </c>
      <c r="I48" t="s">
        <v>7</v>
      </c>
      <c r="J48" t="s">
        <v>8</v>
      </c>
      <c r="L48" t="s">
        <v>18</v>
      </c>
      <c r="M48" t="s">
        <v>0</v>
      </c>
      <c r="N48" t="s">
        <v>1</v>
      </c>
      <c r="O48" t="s">
        <v>2</v>
      </c>
      <c r="P48" t="s">
        <v>3</v>
      </c>
      <c r="Q48" t="s">
        <v>4</v>
      </c>
      <c r="R48" t="s">
        <v>5</v>
      </c>
      <c r="S48" t="s">
        <v>6</v>
      </c>
      <c r="T48" t="s">
        <v>7</v>
      </c>
      <c r="U48" t="s">
        <v>8</v>
      </c>
      <c r="V48" t="s">
        <v>59</v>
      </c>
      <c r="X48" s="76" t="s">
        <v>18</v>
      </c>
      <c r="Y48" t="s">
        <v>67</v>
      </c>
      <c r="Z48" t="s">
        <v>68</v>
      </c>
      <c r="AA48" t="s">
        <v>69</v>
      </c>
    </row>
    <row r="49" spans="1:27" x14ac:dyDescent="0.3">
      <c r="A49">
        <v>12345</v>
      </c>
      <c r="B49" s="10">
        <f>D2/B$44</f>
        <v>3.7015741310872814</v>
      </c>
      <c r="C49" s="10">
        <f t="shared" ref="C49:J57" si="24">E2/C$44</f>
        <v>0.37083115765629815</v>
      </c>
      <c r="D49" s="10">
        <f t="shared" si="24"/>
        <v>2.3662280335415846</v>
      </c>
      <c r="E49" s="10">
        <f t="shared" si="24"/>
        <v>2.4693932221661439</v>
      </c>
      <c r="F49" s="10">
        <f t="shared" si="24"/>
        <v>0.56653283755186434</v>
      </c>
      <c r="G49" s="10">
        <f t="shared" si="24"/>
        <v>2.4136252561621121</v>
      </c>
      <c r="H49" s="10">
        <f t="shared" si="24"/>
        <v>4.2323150644463636</v>
      </c>
      <c r="I49" s="10">
        <f t="shared" si="24"/>
        <v>3.9022623769436366</v>
      </c>
      <c r="J49" s="10">
        <f t="shared" si="24"/>
        <v>4.0071833665052106</v>
      </c>
      <c r="L49">
        <v>12345</v>
      </c>
      <c r="M49" s="64">
        <v>3.7015741310872814</v>
      </c>
      <c r="N49" s="65">
        <v>0.37083115765629815</v>
      </c>
      <c r="O49" s="66">
        <v>2.3662280335415846</v>
      </c>
      <c r="P49" s="63">
        <v>2.4693932221661439</v>
      </c>
      <c r="Q49" s="62">
        <v>0.56653283755186434</v>
      </c>
      <c r="R49" s="62">
        <v>2.4136252561621121</v>
      </c>
      <c r="S49" s="62">
        <v>4.2323150644463636</v>
      </c>
      <c r="T49" s="62">
        <v>3.9022623769436366</v>
      </c>
      <c r="U49" s="62">
        <v>4.0071833665052106</v>
      </c>
      <c r="V49" s="72">
        <v>0.60391527521822497</v>
      </c>
      <c r="X49" s="77">
        <v>12345</v>
      </c>
      <c r="Y49" s="54" t="s">
        <v>70</v>
      </c>
      <c r="Z49" s="54" t="s">
        <v>70</v>
      </c>
      <c r="AA49" s="54" t="s">
        <v>70</v>
      </c>
    </row>
    <row r="50" spans="1:27" x14ac:dyDescent="0.3">
      <c r="A50">
        <v>24690</v>
      </c>
      <c r="B50" s="10">
        <f t="shared" ref="B50:B57" si="25">D3/B$44</f>
        <v>0.73228155523426586</v>
      </c>
      <c r="C50" s="10">
        <f t="shared" si="24"/>
        <v>1.9897944784678703</v>
      </c>
      <c r="D50" s="10">
        <f t="shared" si="24"/>
        <v>0.33541157594627274</v>
      </c>
      <c r="E50" s="10">
        <f t="shared" si="24"/>
        <v>2.1359734407797122</v>
      </c>
      <c r="F50" s="10">
        <f t="shared" si="24"/>
        <v>0.99752166924869701</v>
      </c>
      <c r="G50" s="10">
        <f t="shared" si="24"/>
        <v>0.56746349470196666</v>
      </c>
      <c r="H50" s="10">
        <f t="shared" si="24"/>
        <v>3.3284810109961214</v>
      </c>
      <c r="I50" s="10">
        <f t="shared" si="24"/>
        <v>0.80802691626256673</v>
      </c>
      <c r="J50" s="10">
        <f t="shared" si="24"/>
        <v>2.272358817360137</v>
      </c>
      <c r="L50">
        <v>24690</v>
      </c>
      <c r="M50" s="67">
        <v>0.73228155523426586</v>
      </c>
      <c r="N50" s="62">
        <v>1.9897944784678703</v>
      </c>
      <c r="O50" s="68">
        <v>0.33541157594627274</v>
      </c>
      <c r="P50" s="63">
        <v>2.1359734407797122</v>
      </c>
      <c r="Q50" s="62">
        <v>0.99752166924869701</v>
      </c>
      <c r="R50" s="62">
        <v>0.56746349470196666</v>
      </c>
      <c r="S50" s="62">
        <v>3.3284810109961214</v>
      </c>
      <c r="T50" s="62">
        <v>0.80802691626256673</v>
      </c>
      <c r="U50" s="62">
        <v>2.272358817360137</v>
      </c>
      <c r="V50" s="62">
        <v>0.48624727790761502</v>
      </c>
      <c r="X50" s="78">
        <v>24690</v>
      </c>
      <c r="Y50" s="54" t="s">
        <v>71</v>
      </c>
      <c r="Z50" s="54" t="s">
        <v>71</v>
      </c>
      <c r="AA50" s="54" t="s">
        <v>71</v>
      </c>
    </row>
    <row r="51" spans="1:27" x14ac:dyDescent="0.3">
      <c r="A51">
        <v>37035</v>
      </c>
      <c r="B51" s="10">
        <f t="shared" si="25"/>
        <v>1.013852573310948</v>
      </c>
      <c r="C51" s="10">
        <f t="shared" si="24"/>
        <v>1.3315982811204317</v>
      </c>
      <c r="D51" s="10">
        <f t="shared" si="24"/>
        <v>0.99051611930270134</v>
      </c>
      <c r="E51" s="10">
        <f t="shared" si="24"/>
        <v>1.2095682013609546</v>
      </c>
      <c r="F51" s="10">
        <f t="shared" si="24"/>
        <v>0.6690197144616038</v>
      </c>
      <c r="G51" s="10">
        <f t="shared" si="24"/>
        <v>1.0297531392620909</v>
      </c>
      <c r="H51" s="10">
        <f t="shared" si="24"/>
        <v>1.0401550241609454</v>
      </c>
      <c r="I51" s="10">
        <f t="shared" si="24"/>
        <v>1.1188254856170972</v>
      </c>
      <c r="J51" s="10">
        <f t="shared" si="24"/>
        <v>1.0101821342935104</v>
      </c>
      <c r="L51">
        <v>37035</v>
      </c>
      <c r="M51" s="67">
        <v>1.013852573310948</v>
      </c>
      <c r="N51" s="62">
        <v>1.3315982811204317</v>
      </c>
      <c r="O51" s="68">
        <v>0.99051611930270134</v>
      </c>
      <c r="P51" s="63">
        <v>1.2095682013609546</v>
      </c>
      <c r="Q51" s="62">
        <v>0.6690197144616038</v>
      </c>
      <c r="R51" s="62">
        <v>1.0297531392620909</v>
      </c>
      <c r="S51" s="62">
        <v>1.0401550241609454</v>
      </c>
      <c r="T51" s="62">
        <v>1.1188254856170972</v>
      </c>
      <c r="U51" s="62">
        <v>1.0101821342935104</v>
      </c>
      <c r="V51" s="62">
        <v>0.66176179774459298</v>
      </c>
      <c r="X51" s="77">
        <v>37035</v>
      </c>
      <c r="Y51" s="54" t="s">
        <v>70</v>
      </c>
      <c r="Z51" s="54" t="s">
        <v>70</v>
      </c>
      <c r="AA51" s="54" t="s">
        <v>71</v>
      </c>
    </row>
    <row r="52" spans="1:27" x14ac:dyDescent="0.3">
      <c r="A52">
        <v>49380</v>
      </c>
      <c r="B52" s="10">
        <f t="shared" si="25"/>
        <v>1.0019058001621037</v>
      </c>
      <c r="C52" s="10">
        <f t="shared" si="24"/>
        <v>1.0063264095064612</v>
      </c>
      <c r="D52" s="10">
        <f t="shared" si="24"/>
        <v>1.036578884738854</v>
      </c>
      <c r="E52" s="10">
        <f t="shared" si="24"/>
        <v>0.99123077135817428</v>
      </c>
      <c r="F52" s="10">
        <f t="shared" si="24"/>
        <v>1.0004182281782272</v>
      </c>
      <c r="G52" s="10">
        <f t="shared" si="24"/>
        <v>0.99776518683000603</v>
      </c>
      <c r="H52" s="10">
        <f t="shared" si="24"/>
        <v>0.98923642634283937</v>
      </c>
      <c r="I52" s="10">
        <f t="shared" si="24"/>
        <v>0.95785527468573939</v>
      </c>
      <c r="J52" s="10">
        <f t="shared" si="24"/>
        <v>1.0072851214242537</v>
      </c>
      <c r="L52">
        <v>49380</v>
      </c>
      <c r="M52" s="67">
        <v>1.0019058001621037</v>
      </c>
      <c r="N52" s="62">
        <v>1.0063264095064612</v>
      </c>
      <c r="O52" s="68">
        <v>1.036578884738854</v>
      </c>
      <c r="P52" s="63">
        <v>0.99123077135817428</v>
      </c>
      <c r="Q52" s="62">
        <v>1.0004182281782272</v>
      </c>
      <c r="R52" s="62">
        <v>0.99776518683000603</v>
      </c>
      <c r="S52" s="62">
        <v>0.98923642634283937</v>
      </c>
      <c r="T52" s="62">
        <v>0.95785527468573939</v>
      </c>
      <c r="U52" s="62">
        <v>1.0072851214242537</v>
      </c>
      <c r="V52" s="62">
        <v>0.52520044160502999</v>
      </c>
      <c r="X52" s="78">
        <v>49380</v>
      </c>
      <c r="Y52" s="54" t="s">
        <v>71</v>
      </c>
      <c r="Z52" s="54" t="s">
        <v>71</v>
      </c>
      <c r="AA52" s="54" t="s">
        <v>71</v>
      </c>
    </row>
    <row r="53" spans="1:27" x14ac:dyDescent="0.3">
      <c r="A53">
        <v>61725</v>
      </c>
      <c r="B53" s="10">
        <f t="shared" si="25"/>
        <v>2.5452757262170222</v>
      </c>
      <c r="C53" s="10">
        <f t="shared" si="24"/>
        <v>0.42144086363350186</v>
      </c>
      <c r="D53" s="10">
        <f t="shared" si="24"/>
        <v>1.540031794847182</v>
      </c>
      <c r="E53" s="10">
        <f t="shared" si="24"/>
        <v>1.6622753776717727</v>
      </c>
      <c r="F53" s="10">
        <f t="shared" si="24"/>
        <v>1.6952599902315453</v>
      </c>
      <c r="G53" s="10">
        <f t="shared" si="24"/>
        <v>2.2958241789090819</v>
      </c>
      <c r="H53" s="10">
        <f t="shared" si="24"/>
        <v>1.2108064443826665</v>
      </c>
      <c r="I53" s="10">
        <f t="shared" si="24"/>
        <v>3.4442998367507274</v>
      </c>
      <c r="J53" s="10">
        <f t="shared" si="24"/>
        <v>0.52356982480844416</v>
      </c>
      <c r="L53">
        <v>61725</v>
      </c>
      <c r="M53" s="67">
        <v>2.5452757262170222</v>
      </c>
      <c r="N53" s="62">
        <v>0.42144086363350186</v>
      </c>
      <c r="O53" s="68">
        <v>1.540031794847182</v>
      </c>
      <c r="P53" s="63">
        <v>1.6622753776717727</v>
      </c>
      <c r="Q53" s="62">
        <v>1.6952599902315453</v>
      </c>
      <c r="R53" s="62">
        <v>2.2958241789090819</v>
      </c>
      <c r="S53" s="62">
        <v>1.2108064443826665</v>
      </c>
      <c r="T53" s="62">
        <v>3.4442998367507274</v>
      </c>
      <c r="U53" s="62">
        <v>0.52356982480844416</v>
      </c>
      <c r="V53" s="62">
        <v>0.65013584412540804</v>
      </c>
      <c r="X53" s="77">
        <v>61725</v>
      </c>
      <c r="Y53" s="54" t="s">
        <v>70</v>
      </c>
      <c r="Z53" s="54" t="s">
        <v>70</v>
      </c>
      <c r="AA53" s="54" t="s">
        <v>71</v>
      </c>
    </row>
    <row r="54" spans="1:27" x14ac:dyDescent="0.3">
      <c r="A54">
        <v>74070</v>
      </c>
      <c r="B54" s="10">
        <f t="shared" si="25"/>
        <v>1.7775901981836961</v>
      </c>
      <c r="C54" s="10">
        <f t="shared" si="24"/>
        <v>0.72494472410469257</v>
      </c>
      <c r="D54" s="10">
        <f t="shared" si="24"/>
        <v>0.37051343827471106</v>
      </c>
      <c r="E54" s="10">
        <f t="shared" si="24"/>
        <v>2.3180608119539698</v>
      </c>
      <c r="F54" s="10">
        <f t="shared" si="24"/>
        <v>1.3470949093450075</v>
      </c>
      <c r="G54" s="10">
        <f t="shared" si="24"/>
        <v>2.1782135934575275</v>
      </c>
      <c r="H54" s="10">
        <f t="shared" si="24"/>
        <v>2.3896762324972909</v>
      </c>
      <c r="I54" s="10">
        <f t="shared" si="24"/>
        <v>0.63335878413151825</v>
      </c>
      <c r="J54" s="10">
        <f t="shared" si="24"/>
        <v>0.38310460441034316</v>
      </c>
      <c r="L54">
        <v>74070</v>
      </c>
      <c r="M54" s="67">
        <v>1.7775901981836961</v>
      </c>
      <c r="N54" s="62">
        <v>0.72494472410469257</v>
      </c>
      <c r="O54" s="68">
        <v>0.37051343827471106</v>
      </c>
      <c r="P54" s="63">
        <v>2.3180608119539698</v>
      </c>
      <c r="Q54" s="62">
        <v>1.3470949093450075</v>
      </c>
      <c r="R54" s="62">
        <v>2.1782135934575275</v>
      </c>
      <c r="S54" s="62">
        <v>2.3896762324972909</v>
      </c>
      <c r="T54" s="62">
        <v>0.63335878413151825</v>
      </c>
      <c r="U54" s="62">
        <v>0.38310460441034316</v>
      </c>
      <c r="V54" s="62">
        <v>0.54313186736951702</v>
      </c>
      <c r="X54" s="78">
        <v>74070</v>
      </c>
      <c r="Y54" s="54" t="s">
        <v>71</v>
      </c>
      <c r="Z54" s="54" t="s">
        <v>71</v>
      </c>
      <c r="AA54" s="54" t="s">
        <v>71</v>
      </c>
    </row>
    <row r="55" spans="1:27" x14ac:dyDescent="0.3">
      <c r="A55">
        <v>86415</v>
      </c>
      <c r="B55" s="10">
        <f t="shared" si="25"/>
        <v>0.8596950241667185</v>
      </c>
      <c r="C55" s="10">
        <f t="shared" si="24"/>
        <v>1.0199142488163242</v>
      </c>
      <c r="D55" s="10">
        <f t="shared" si="24"/>
        <v>0.3264022073669513</v>
      </c>
      <c r="E55" s="10">
        <f t="shared" si="24"/>
        <v>0.97028135238825008</v>
      </c>
      <c r="F55" s="10">
        <f t="shared" si="24"/>
        <v>0.57358647086490222</v>
      </c>
      <c r="G55" s="10">
        <f t="shared" si="24"/>
        <v>0.85293908330560908</v>
      </c>
      <c r="H55" s="10">
        <f t="shared" si="24"/>
        <v>0.92912236506217571</v>
      </c>
      <c r="I55" s="10">
        <f t="shared" si="24"/>
        <v>0.82868180848462425</v>
      </c>
      <c r="J55" s="10">
        <f t="shared" si="24"/>
        <v>1.4229035070601472</v>
      </c>
      <c r="L55">
        <v>86415</v>
      </c>
      <c r="M55" s="67">
        <v>0.8596950241667185</v>
      </c>
      <c r="N55" s="62">
        <v>1.0199142488163242</v>
      </c>
      <c r="O55" s="68">
        <v>0.3264022073669513</v>
      </c>
      <c r="P55" s="63">
        <v>0.97028135238825008</v>
      </c>
      <c r="Q55" s="62">
        <v>0.57358647086490222</v>
      </c>
      <c r="R55" s="62">
        <v>0.85293908330560908</v>
      </c>
      <c r="S55" s="62">
        <v>0.92912236506217571</v>
      </c>
      <c r="T55" s="62">
        <v>0.82868180848462425</v>
      </c>
      <c r="U55" s="62">
        <v>1.4229035070601472</v>
      </c>
      <c r="V55" s="62">
        <v>0.689942458078181</v>
      </c>
      <c r="X55" s="77">
        <v>86415</v>
      </c>
      <c r="Y55" s="54" t="s">
        <v>70</v>
      </c>
      <c r="Z55" s="54" t="s">
        <v>70</v>
      </c>
      <c r="AA55" s="54" t="s">
        <v>71</v>
      </c>
    </row>
    <row r="56" spans="1:27" x14ac:dyDescent="0.3">
      <c r="A56">
        <v>98760</v>
      </c>
      <c r="B56" s="10">
        <f t="shared" si="25"/>
        <v>2.092100212144496</v>
      </c>
      <c r="C56" s="10">
        <f t="shared" si="24"/>
        <v>2.435098064246537</v>
      </c>
      <c r="D56" s="10">
        <f t="shared" si="24"/>
        <v>0.55954251994784743</v>
      </c>
      <c r="E56" s="10">
        <f t="shared" si="24"/>
        <v>2.9300494561210075</v>
      </c>
      <c r="F56" s="10">
        <f t="shared" si="24"/>
        <v>0.94852006803044697</v>
      </c>
      <c r="G56" s="10">
        <f t="shared" si="24"/>
        <v>0.59189197949472416</v>
      </c>
      <c r="H56" s="10">
        <f t="shared" si="24"/>
        <v>4.1588265843502423</v>
      </c>
      <c r="I56" s="10">
        <f t="shared" si="24"/>
        <v>2.4041401174379877</v>
      </c>
      <c r="J56" s="10">
        <f t="shared" si="24"/>
        <v>0.44761912533182319</v>
      </c>
      <c r="L56">
        <v>98760</v>
      </c>
      <c r="M56" s="67">
        <v>2.092100212144496</v>
      </c>
      <c r="N56" s="62">
        <v>2.435098064246537</v>
      </c>
      <c r="O56" s="68">
        <v>0.55954251994784743</v>
      </c>
      <c r="P56" s="63">
        <v>2.9300494561210075</v>
      </c>
      <c r="Q56" s="62">
        <v>0.94852006803044697</v>
      </c>
      <c r="R56" s="62">
        <v>0.59189197949472416</v>
      </c>
      <c r="S56" s="62">
        <v>4.1588265843502423</v>
      </c>
      <c r="T56" s="62">
        <v>2.4041401174379877</v>
      </c>
      <c r="U56" s="62">
        <v>0.44761912533182319</v>
      </c>
      <c r="V56" s="62">
        <v>0.59117161347732095</v>
      </c>
      <c r="X56" s="78">
        <v>98760</v>
      </c>
      <c r="Y56" s="54" t="s">
        <v>70</v>
      </c>
      <c r="Z56" s="54" t="s">
        <v>71</v>
      </c>
      <c r="AA56" s="54" t="s">
        <v>71</v>
      </c>
    </row>
    <row r="57" spans="1:27" x14ac:dyDescent="0.3">
      <c r="A57">
        <v>111105</v>
      </c>
      <c r="B57" s="10">
        <f t="shared" si="25"/>
        <v>0.8150807597453037</v>
      </c>
      <c r="C57" s="10">
        <f t="shared" si="24"/>
        <v>0.37059713125636112</v>
      </c>
      <c r="D57" s="10">
        <f t="shared" si="24"/>
        <v>0.32534713425040906</v>
      </c>
      <c r="E57" s="10">
        <f t="shared" si="24"/>
        <v>0.89858589479412887</v>
      </c>
      <c r="F57" s="10">
        <f t="shared" si="24"/>
        <v>3.4796255130359848</v>
      </c>
      <c r="G57" s="10">
        <f t="shared" si="24"/>
        <v>1.9021837738526788</v>
      </c>
      <c r="H57" s="10">
        <f t="shared" si="24"/>
        <v>0.57485219838322121</v>
      </c>
      <c r="I57" s="10">
        <f t="shared" si="24"/>
        <v>2.5390543601866122</v>
      </c>
      <c r="J57" s="10">
        <f t="shared" si="24"/>
        <v>3.0398230274516944</v>
      </c>
      <c r="L57">
        <v>111105</v>
      </c>
      <c r="M57" s="67">
        <v>0.8150807597453037</v>
      </c>
      <c r="N57" s="62">
        <v>0.37059713125636112</v>
      </c>
      <c r="O57" s="68">
        <v>0.32534713425040906</v>
      </c>
      <c r="P57" s="63">
        <v>0.89858589479412887</v>
      </c>
      <c r="Q57" s="62">
        <v>3.4796255130359848</v>
      </c>
      <c r="R57" s="62">
        <v>1.9021837738526788</v>
      </c>
      <c r="S57" s="62">
        <v>0.57485219838322121</v>
      </c>
      <c r="T57" s="62">
        <v>2.5390543601866122</v>
      </c>
      <c r="U57" s="62">
        <v>3.0398230274516944</v>
      </c>
      <c r="V57" s="62">
        <v>0.50762810253022606</v>
      </c>
      <c r="X57" s="77">
        <v>111105</v>
      </c>
      <c r="Y57" s="54" t="s">
        <v>70</v>
      </c>
      <c r="Z57" s="54" t="s">
        <v>70</v>
      </c>
      <c r="AA57" s="54" t="s">
        <v>70</v>
      </c>
    </row>
    <row r="58" spans="1:27" ht="15" thickBot="1" x14ac:dyDescent="0.35">
      <c r="A58">
        <v>123450</v>
      </c>
      <c r="B58" s="10">
        <f>D11/B$44</f>
        <v>3.5511114364856962</v>
      </c>
      <c r="C58" s="10">
        <f t="shared" ref="C58:J58" si="26">E11/C$44</f>
        <v>3.2360030012112038</v>
      </c>
      <c r="D58" s="10">
        <f t="shared" si="26"/>
        <v>2.3673664769349285</v>
      </c>
      <c r="E58" s="10">
        <f t="shared" si="26"/>
        <v>2.6667941689618107</v>
      </c>
      <c r="F58" s="10">
        <f t="shared" si="26"/>
        <v>0.59181947342834929</v>
      </c>
      <c r="G58" s="10">
        <f t="shared" si="26"/>
        <v>2.4200260825085391</v>
      </c>
      <c r="H58" s="10">
        <f t="shared" si="26"/>
        <v>3.5235494014104844</v>
      </c>
      <c r="I58" s="10">
        <f t="shared" si="26"/>
        <v>2.314705358795603</v>
      </c>
      <c r="J58" s="10">
        <f t="shared" si="26"/>
        <v>1.3744316665601157</v>
      </c>
      <c r="L58">
        <v>123450</v>
      </c>
      <c r="M58" s="69">
        <v>3.5511114364856962</v>
      </c>
      <c r="N58" s="70">
        <v>3.2360030012112038</v>
      </c>
      <c r="O58" s="71">
        <v>2.3673664769349285</v>
      </c>
      <c r="P58" s="63">
        <v>2.6667941689618107</v>
      </c>
      <c r="Q58" s="62">
        <v>0.59181947342834929</v>
      </c>
      <c r="R58" s="62">
        <v>2.4200260825085391</v>
      </c>
      <c r="S58" s="62">
        <v>3.5235494014104844</v>
      </c>
      <c r="T58" s="62">
        <v>2.314705358795603</v>
      </c>
      <c r="U58" s="62">
        <v>1.3744316665601157</v>
      </c>
      <c r="V58" s="73">
        <v>0.53793669261472898</v>
      </c>
      <c r="X58" s="78">
        <v>123450</v>
      </c>
      <c r="Y58" s="54" t="s">
        <v>70</v>
      </c>
      <c r="Z58" s="54" t="s">
        <v>70</v>
      </c>
      <c r="AA58" s="54" t="s">
        <v>71</v>
      </c>
    </row>
    <row r="59" spans="1:27" ht="15" thickBot="1" x14ac:dyDescent="0.35"/>
    <row r="60" spans="1:27" x14ac:dyDescent="0.3">
      <c r="A60" s="55" t="s">
        <v>36</v>
      </c>
      <c r="B60" s="60">
        <f>AVERAGE(Table7[seed_a_e])</f>
        <v>1.8090467416737532</v>
      </c>
      <c r="C60" s="61">
        <f>AVERAGE(Table7[seed_b_e])</f>
        <v>1.2906548360019681</v>
      </c>
      <c r="D60" s="61">
        <f>AVERAGE(Table7[seed_d_e])</f>
        <v>1.0217938185151443</v>
      </c>
      <c r="E60" s="61">
        <f>AVERAGE(Table7[seed_c_I_sst])</f>
        <v>1.8252212697555925</v>
      </c>
      <c r="F60" s="61">
        <f>AVERAGE(Table7[seed_c_I_vip])</f>
        <v>1.1869398874376631</v>
      </c>
      <c r="G60" s="61">
        <f>AVERAGE(Table7[seed_c_I_pv])</f>
        <v>1.5249685768484336</v>
      </c>
      <c r="H60" s="61">
        <f>AVERAGE(Table7[seed_r_0_sst])</f>
        <v>2.2377020752032353</v>
      </c>
      <c r="I60" s="61">
        <f>AVERAGE(Table7[seed_r_0_vip])</f>
        <v>1.8951210319296112</v>
      </c>
      <c r="J60" s="61">
        <f>AVERAGE(Table7[seed_r_0_pv])</f>
        <v>1.5488461195205676</v>
      </c>
    </row>
    <row r="61" spans="1:27" x14ac:dyDescent="0.3">
      <c r="A61" s="56" t="s">
        <v>37</v>
      </c>
      <c r="B61" s="60">
        <f>_xlfn.STDEV.P(Table7[seed_a_e])</f>
        <v>1.0757351815340628</v>
      </c>
      <c r="C61" s="61">
        <f>_xlfn.STDEV.P(Table7[seed_b_e])</f>
        <v>0.92232793253575818</v>
      </c>
      <c r="D61" s="61">
        <f>_xlfn.STDEV.P(Table7[seed_d_e])</f>
        <v>0.7723604784613467</v>
      </c>
      <c r="E61" s="61">
        <f>_xlfn.STDEV.P(Table7[seed_c_I_sst])</f>
        <v>0.73307578685390573</v>
      </c>
      <c r="F61" s="61">
        <f>_xlfn.STDEV.P(Table7[seed_c_I_vip])</f>
        <v>0.83973072295398832</v>
      </c>
      <c r="G61" s="61">
        <f>_xlfn.STDEV.P(Table7[seed_c_I_pv])</f>
        <v>0.7427200449064788</v>
      </c>
      <c r="H61" s="61">
        <f>_xlfn.STDEV.P(Table7[seed_r_0_sst])</f>
        <v>1.3805886120473341</v>
      </c>
      <c r="I61" s="61">
        <f>_xlfn.STDEV.P(Table7[seed_r_0_vip])</f>
        <v>1.1256369305726488</v>
      </c>
      <c r="J61" s="61">
        <f>_xlfn.STDEV.P(Table7[seed_r_0_pv])</f>
        <v>1.1420367587685476</v>
      </c>
    </row>
    <row r="62" spans="1:27" ht="15" thickBot="1" x14ac:dyDescent="0.35">
      <c r="A62" s="57" t="s">
        <v>60</v>
      </c>
      <c r="B62" s="60">
        <f>B61/B60</f>
        <v>0.5946420049593516</v>
      </c>
      <c r="C62" s="61">
        <f t="shared" ref="C62:J62" si="27">C61/C60</f>
        <v>0.71462013453018336</v>
      </c>
      <c r="D62" s="61">
        <f t="shared" si="27"/>
        <v>0.75588681832478644</v>
      </c>
      <c r="E62" s="61">
        <f t="shared" si="27"/>
        <v>0.40163666674346216</v>
      </c>
      <c r="F62" s="61">
        <f t="shared" si="27"/>
        <v>0.70747535898113467</v>
      </c>
      <c r="G62" s="61">
        <f t="shared" si="27"/>
        <v>0.48703957326216935</v>
      </c>
      <c r="H62" s="61">
        <f t="shared" si="27"/>
        <v>0.61696712325832948</v>
      </c>
      <c r="I62" s="61">
        <f t="shared" si="27"/>
        <v>0.59396572124289382</v>
      </c>
      <c r="J62" s="61">
        <f t="shared" si="27"/>
        <v>0.73734681862524576</v>
      </c>
    </row>
    <row r="64" spans="1:27" ht="15" thickBot="1" x14ac:dyDescent="0.35"/>
    <row r="65" spans="1:22" ht="29.4" thickBot="1" x14ac:dyDescent="0.35">
      <c r="A65" s="30" t="s">
        <v>63</v>
      </c>
      <c r="L65" s="75" t="s">
        <v>65</v>
      </c>
    </row>
    <row r="66" spans="1:22" ht="15" thickBot="1" x14ac:dyDescent="0.35">
      <c r="A66" s="8" t="s">
        <v>18</v>
      </c>
      <c r="B66" s="8" t="s">
        <v>0</v>
      </c>
      <c r="C66" s="8" t="s">
        <v>1</v>
      </c>
      <c r="D66" s="8" t="s">
        <v>2</v>
      </c>
      <c r="E66" s="8" t="s">
        <v>3</v>
      </c>
      <c r="F66" s="8" t="s">
        <v>4</v>
      </c>
      <c r="G66" s="8" t="s">
        <v>5</v>
      </c>
      <c r="H66" s="8" t="s">
        <v>6</v>
      </c>
      <c r="I66" s="8" t="s">
        <v>7</v>
      </c>
      <c r="J66" s="9" t="s">
        <v>8</v>
      </c>
      <c r="L66" s="8" t="s">
        <v>18</v>
      </c>
      <c r="M66" s="58" t="s">
        <v>0</v>
      </c>
      <c r="N66" s="58" t="s">
        <v>1</v>
      </c>
      <c r="O66" s="58" t="s">
        <v>2</v>
      </c>
      <c r="P66" s="58" t="s">
        <v>3</v>
      </c>
      <c r="Q66" s="58" t="s">
        <v>4</v>
      </c>
      <c r="R66" s="58" t="s">
        <v>5</v>
      </c>
      <c r="S66" s="58" t="s">
        <v>6</v>
      </c>
      <c r="T66" s="58" t="s">
        <v>7</v>
      </c>
      <c r="U66" s="59" t="s">
        <v>8</v>
      </c>
      <c r="V66" s="58" t="s">
        <v>59</v>
      </c>
    </row>
    <row r="67" spans="1:22" x14ac:dyDescent="0.3">
      <c r="A67" s="32">
        <v>12345</v>
      </c>
      <c r="B67" s="10">
        <f>LOG(B49,2)</f>
        <v>1.8881389215967568</v>
      </c>
      <c r="C67" s="10">
        <f t="shared" ref="C67:J67" si="28">LOG(C49,2)</f>
        <v>-1.4311656289504635</v>
      </c>
      <c r="D67" s="10">
        <f t="shared" si="28"/>
        <v>1.2425891129875246</v>
      </c>
      <c r="E67" s="10">
        <f t="shared" si="28"/>
        <v>1.304156587188968</v>
      </c>
      <c r="F67" s="10">
        <f t="shared" si="28"/>
        <v>-0.81976851448105381</v>
      </c>
      <c r="G67" s="10">
        <f t="shared" si="28"/>
        <v>1.2712016980296328</v>
      </c>
      <c r="H67" s="10">
        <f t="shared" si="28"/>
        <v>2.08144702938844</v>
      </c>
      <c r="I67" s="10">
        <f t="shared" si="28"/>
        <v>1.9643107838899196</v>
      </c>
      <c r="J67" s="10">
        <f t="shared" si="28"/>
        <v>2.002588528210187</v>
      </c>
      <c r="L67" s="32">
        <v>12345</v>
      </c>
      <c r="M67" s="64">
        <f>LOG(M49,2)</f>
        <v>1.8881389215967568</v>
      </c>
      <c r="N67" s="65">
        <f t="shared" ref="N67:U67" si="29">LOG(N49,2)</f>
        <v>-1.4311656289504635</v>
      </c>
      <c r="O67" s="66">
        <f t="shared" si="29"/>
        <v>1.2425891129875246</v>
      </c>
      <c r="P67" s="63">
        <f t="shared" si="29"/>
        <v>1.304156587188968</v>
      </c>
      <c r="Q67" s="62">
        <f t="shared" si="29"/>
        <v>-0.81976851448105381</v>
      </c>
      <c r="R67" s="62">
        <f t="shared" si="29"/>
        <v>1.2712016980296328</v>
      </c>
      <c r="S67" s="62">
        <f t="shared" si="29"/>
        <v>2.08144702938844</v>
      </c>
      <c r="T67" s="62">
        <f t="shared" si="29"/>
        <v>1.9643107838899196</v>
      </c>
      <c r="U67" s="62">
        <f t="shared" si="29"/>
        <v>2.002588528210187</v>
      </c>
      <c r="V67" s="62">
        <v>0.60391527521822497</v>
      </c>
    </row>
    <row r="68" spans="1:22" x14ac:dyDescent="0.3">
      <c r="A68" s="33">
        <v>24690</v>
      </c>
      <c r="B68" s="10">
        <f t="shared" ref="B68:J68" si="30">LOG(B50,2)</f>
        <v>-0.4495296373062978</v>
      </c>
      <c r="C68" s="10">
        <f t="shared" si="30"/>
        <v>0.99261942563960548</v>
      </c>
      <c r="D68" s="10">
        <f t="shared" si="30"/>
        <v>-1.575995613879893</v>
      </c>
      <c r="E68" s="10">
        <f t="shared" si="30"/>
        <v>1.094893708311226</v>
      </c>
      <c r="F68" s="10">
        <f t="shared" si="30"/>
        <v>-3.5799134239802434E-3</v>
      </c>
      <c r="G68" s="10">
        <f t="shared" si="30"/>
        <v>-0.81740050901494998</v>
      </c>
      <c r="H68" s="10">
        <f t="shared" si="30"/>
        <v>1.7348639376958066</v>
      </c>
      <c r="I68" s="10">
        <f t="shared" si="30"/>
        <v>-0.30752474335614682</v>
      </c>
      <c r="J68" s="10">
        <f t="shared" si="30"/>
        <v>1.1841906619345723</v>
      </c>
      <c r="L68" s="33">
        <v>24690</v>
      </c>
      <c r="M68" s="67">
        <f t="shared" ref="M68:U68" si="31">LOG(M50,2)</f>
        <v>-0.4495296373062978</v>
      </c>
      <c r="N68" s="62">
        <f t="shared" si="31"/>
        <v>0.99261942563960548</v>
      </c>
      <c r="O68" s="68">
        <f t="shared" si="31"/>
        <v>-1.575995613879893</v>
      </c>
      <c r="P68" s="63">
        <f t="shared" si="31"/>
        <v>1.094893708311226</v>
      </c>
      <c r="Q68" s="62">
        <f t="shared" si="31"/>
        <v>-3.5799134239802434E-3</v>
      </c>
      <c r="R68" s="62">
        <f t="shared" si="31"/>
        <v>-0.81740050901494998</v>
      </c>
      <c r="S68" s="62">
        <f t="shared" si="31"/>
        <v>1.7348639376958066</v>
      </c>
      <c r="T68" s="62">
        <f t="shared" si="31"/>
        <v>-0.30752474335614682</v>
      </c>
      <c r="U68" s="62">
        <f t="shared" si="31"/>
        <v>1.1841906619345723</v>
      </c>
      <c r="V68" s="62">
        <v>0.48624727790761502</v>
      </c>
    </row>
    <row r="69" spans="1:22" x14ac:dyDescent="0.3">
      <c r="A69" s="32">
        <v>37035</v>
      </c>
      <c r="B69" s="10">
        <f t="shared" ref="B69:J69" si="32">LOG(B51,2)</f>
        <v>1.9847881910834628E-2</v>
      </c>
      <c r="C69" s="10">
        <f t="shared" si="32"/>
        <v>0.4131589133043691</v>
      </c>
      <c r="D69" s="10">
        <f t="shared" si="32"/>
        <v>-1.3747641681893808E-2</v>
      </c>
      <c r="E69" s="10">
        <f t="shared" si="32"/>
        <v>0.27449211780168947</v>
      </c>
      <c r="F69" s="10">
        <f t="shared" si="32"/>
        <v>-0.57987937051251526</v>
      </c>
      <c r="G69" s="10">
        <f t="shared" si="32"/>
        <v>4.2298524352270384E-2</v>
      </c>
      <c r="H69" s="10">
        <f t="shared" si="32"/>
        <v>5.6798562905649636E-2</v>
      </c>
      <c r="I69" s="10">
        <f t="shared" si="32"/>
        <v>0.16198502231128811</v>
      </c>
      <c r="J69" s="10">
        <f t="shared" si="32"/>
        <v>1.4615432138064233E-2</v>
      </c>
      <c r="L69" s="32">
        <v>37035</v>
      </c>
      <c r="M69" s="67">
        <f t="shared" ref="M69:U69" si="33">LOG(M51,2)</f>
        <v>1.9847881910834628E-2</v>
      </c>
      <c r="N69" s="62">
        <f t="shared" si="33"/>
        <v>0.4131589133043691</v>
      </c>
      <c r="O69" s="68">
        <f t="shared" si="33"/>
        <v>-1.3747641681893808E-2</v>
      </c>
      <c r="P69" s="63">
        <f t="shared" si="33"/>
        <v>0.27449211780168947</v>
      </c>
      <c r="Q69" s="62">
        <f t="shared" si="33"/>
        <v>-0.57987937051251526</v>
      </c>
      <c r="R69" s="62">
        <f t="shared" si="33"/>
        <v>4.2298524352270384E-2</v>
      </c>
      <c r="S69" s="62">
        <f t="shared" si="33"/>
        <v>5.6798562905649636E-2</v>
      </c>
      <c r="T69" s="62">
        <f t="shared" si="33"/>
        <v>0.16198502231128811</v>
      </c>
      <c r="U69" s="62">
        <f t="shared" si="33"/>
        <v>1.4615432138064233E-2</v>
      </c>
      <c r="V69" s="62">
        <v>0.66176179774459298</v>
      </c>
    </row>
    <row r="70" spans="1:22" x14ac:dyDescent="0.3">
      <c r="A70" s="33">
        <v>49380</v>
      </c>
      <c r="B70" s="10">
        <f t="shared" ref="B70:J70" si="34">LOG(B52,2)</f>
        <v>2.746871779063762E-3</v>
      </c>
      <c r="C70" s="10">
        <f t="shared" si="34"/>
        <v>9.098329990876293E-3</v>
      </c>
      <c r="D70" s="10">
        <f t="shared" si="34"/>
        <v>5.1829911228837573E-2</v>
      </c>
      <c r="E70" s="10">
        <f t="shared" si="34"/>
        <v>-1.2707120285398787E-2</v>
      </c>
      <c r="F70" s="10">
        <f t="shared" si="34"/>
        <v>6.0324957949339699E-4</v>
      </c>
      <c r="G70" s="10">
        <f t="shared" si="34"/>
        <v>-3.2277619450108447E-3</v>
      </c>
      <c r="H70" s="10">
        <f t="shared" si="34"/>
        <v>-1.5612730274144221E-2</v>
      </c>
      <c r="I70" s="10">
        <f t="shared" si="34"/>
        <v>-6.2120403713050019E-2</v>
      </c>
      <c r="J70" s="10">
        <f t="shared" si="34"/>
        <v>1.0472109404339571E-2</v>
      </c>
      <c r="L70" s="33">
        <v>49380</v>
      </c>
      <c r="M70" s="67">
        <f t="shared" ref="M70:U70" si="35">LOG(M52,2)</f>
        <v>2.746871779063762E-3</v>
      </c>
      <c r="N70" s="62">
        <f t="shared" si="35"/>
        <v>9.098329990876293E-3</v>
      </c>
      <c r="O70" s="68">
        <f t="shared" si="35"/>
        <v>5.1829911228837573E-2</v>
      </c>
      <c r="P70" s="63">
        <f t="shared" si="35"/>
        <v>-1.2707120285398787E-2</v>
      </c>
      <c r="Q70" s="62">
        <f t="shared" si="35"/>
        <v>6.0324957949339699E-4</v>
      </c>
      <c r="R70" s="62">
        <f t="shared" si="35"/>
        <v>-3.2277619450108447E-3</v>
      </c>
      <c r="S70" s="62">
        <f t="shared" si="35"/>
        <v>-1.5612730274144221E-2</v>
      </c>
      <c r="T70" s="62">
        <f t="shared" si="35"/>
        <v>-6.2120403713050019E-2</v>
      </c>
      <c r="U70" s="62">
        <f t="shared" si="35"/>
        <v>1.0472109404339571E-2</v>
      </c>
      <c r="V70" s="62">
        <v>0.52520044160502999</v>
      </c>
    </row>
    <row r="71" spans="1:22" x14ac:dyDescent="0.3">
      <c r="A71" s="32">
        <v>61725</v>
      </c>
      <c r="B71" s="10">
        <f t="shared" ref="B71:J71" si="36">LOG(B53,2)</f>
        <v>1.3478219499352353</v>
      </c>
      <c r="C71" s="10">
        <f t="shared" si="36"/>
        <v>-1.246597887748792</v>
      </c>
      <c r="D71" s="10">
        <f t="shared" si="36"/>
        <v>0.62296013650124349</v>
      </c>
      <c r="E71" s="10">
        <f t="shared" si="36"/>
        <v>0.73315940322246198</v>
      </c>
      <c r="F71" s="10">
        <f t="shared" si="36"/>
        <v>0.76150654643185345</v>
      </c>
      <c r="G71" s="10">
        <f t="shared" si="36"/>
        <v>1.1990121603373902</v>
      </c>
      <c r="H71" s="10">
        <f t="shared" si="36"/>
        <v>0.2759682588824352</v>
      </c>
      <c r="I71" s="10">
        <f t="shared" si="36"/>
        <v>1.7842107391820301</v>
      </c>
      <c r="J71" s="10">
        <f t="shared" si="36"/>
        <v>-0.93354614285571635</v>
      </c>
      <c r="L71" s="32">
        <v>61725</v>
      </c>
      <c r="M71" s="67">
        <f t="shared" ref="M71:U71" si="37">LOG(M53,2)</f>
        <v>1.3478219499352353</v>
      </c>
      <c r="N71" s="62">
        <f t="shared" si="37"/>
        <v>-1.246597887748792</v>
      </c>
      <c r="O71" s="68">
        <f t="shared" si="37"/>
        <v>0.62296013650124349</v>
      </c>
      <c r="P71" s="63">
        <f t="shared" si="37"/>
        <v>0.73315940322246198</v>
      </c>
      <c r="Q71" s="62">
        <f t="shared" si="37"/>
        <v>0.76150654643185345</v>
      </c>
      <c r="R71" s="62">
        <f t="shared" si="37"/>
        <v>1.1990121603373902</v>
      </c>
      <c r="S71" s="62">
        <f t="shared" si="37"/>
        <v>0.2759682588824352</v>
      </c>
      <c r="T71" s="62">
        <f t="shared" si="37"/>
        <v>1.7842107391820301</v>
      </c>
      <c r="U71" s="62">
        <f t="shared" si="37"/>
        <v>-0.93354614285571635</v>
      </c>
      <c r="V71" s="62">
        <v>0.65013584412540804</v>
      </c>
    </row>
    <row r="72" spans="1:22" x14ac:dyDescent="0.3">
      <c r="A72" s="33">
        <v>74070</v>
      </c>
      <c r="B72" s="10">
        <f t="shared" ref="B72:J72" si="38">LOG(B54,2)</f>
        <v>0.82992276669182485</v>
      </c>
      <c r="C72" s="10">
        <f t="shared" si="38"/>
        <v>-0.46405709879458601</v>
      </c>
      <c r="D72" s="10">
        <f t="shared" si="38"/>
        <v>-1.432402225822659</v>
      </c>
      <c r="E72" s="10">
        <f t="shared" si="38"/>
        <v>1.2129184144693266</v>
      </c>
      <c r="F72" s="10">
        <f t="shared" si="38"/>
        <v>0.42985149921724702</v>
      </c>
      <c r="G72" s="10">
        <f t="shared" si="38"/>
        <v>1.1231454302315853</v>
      </c>
      <c r="H72" s="10">
        <f t="shared" si="38"/>
        <v>1.2568151665693217</v>
      </c>
      <c r="I72" s="10">
        <f t="shared" si="38"/>
        <v>-0.65890510795032053</v>
      </c>
      <c r="J72" s="10">
        <f t="shared" si="38"/>
        <v>-1.3841897297362467</v>
      </c>
      <c r="L72" s="33">
        <v>74070</v>
      </c>
      <c r="M72" s="67">
        <f t="shared" ref="M72:U72" si="39">LOG(M54,2)</f>
        <v>0.82992276669182485</v>
      </c>
      <c r="N72" s="62">
        <f t="shared" si="39"/>
        <v>-0.46405709879458601</v>
      </c>
      <c r="O72" s="68">
        <f t="shared" si="39"/>
        <v>-1.432402225822659</v>
      </c>
      <c r="P72" s="63">
        <f t="shared" si="39"/>
        <v>1.2129184144693266</v>
      </c>
      <c r="Q72" s="62">
        <f t="shared" si="39"/>
        <v>0.42985149921724702</v>
      </c>
      <c r="R72" s="62">
        <f t="shared" si="39"/>
        <v>1.1231454302315853</v>
      </c>
      <c r="S72" s="62">
        <f t="shared" si="39"/>
        <v>1.2568151665693217</v>
      </c>
      <c r="T72" s="62">
        <f t="shared" si="39"/>
        <v>-0.65890510795032053</v>
      </c>
      <c r="U72" s="62">
        <f t="shared" si="39"/>
        <v>-1.3841897297362467</v>
      </c>
      <c r="V72" s="62">
        <v>0.54313186736951702</v>
      </c>
    </row>
    <row r="73" spans="1:22" x14ac:dyDescent="0.3">
      <c r="A73" s="32">
        <v>86415</v>
      </c>
      <c r="B73" s="10">
        <f t="shared" ref="B73:J73" si="40">LOG(B55,2)</f>
        <v>-0.21810313874181891</v>
      </c>
      <c r="C73" s="10">
        <f t="shared" si="40"/>
        <v>2.8447860032079077E-2</v>
      </c>
      <c r="D73" s="10">
        <f t="shared" si="40"/>
        <v>-1.615277281001404</v>
      </c>
      <c r="E73" s="10">
        <f t="shared" si="40"/>
        <v>-4.3524948784128645E-2</v>
      </c>
      <c r="F73" s="10">
        <f t="shared" si="40"/>
        <v>-0.80191709917094234</v>
      </c>
      <c r="G73" s="10">
        <f t="shared" si="40"/>
        <v>-0.22948538658080106</v>
      </c>
      <c r="H73" s="10">
        <f t="shared" si="40"/>
        <v>-0.1060594833784206</v>
      </c>
      <c r="I73" s="10">
        <f t="shared" si="40"/>
        <v>-0.2711098429155151</v>
      </c>
      <c r="J73" s="10">
        <f t="shared" si="40"/>
        <v>0.50883783009637207</v>
      </c>
      <c r="L73" s="32">
        <v>86415</v>
      </c>
      <c r="M73" s="67">
        <f t="shared" ref="M73:U73" si="41">LOG(M55,2)</f>
        <v>-0.21810313874181891</v>
      </c>
      <c r="N73" s="62">
        <f t="shared" si="41"/>
        <v>2.8447860032079077E-2</v>
      </c>
      <c r="O73" s="68">
        <f t="shared" si="41"/>
        <v>-1.615277281001404</v>
      </c>
      <c r="P73" s="63">
        <f t="shared" si="41"/>
        <v>-4.3524948784128645E-2</v>
      </c>
      <c r="Q73" s="62">
        <f t="shared" si="41"/>
        <v>-0.80191709917094234</v>
      </c>
      <c r="R73" s="62">
        <f t="shared" si="41"/>
        <v>-0.22948538658080106</v>
      </c>
      <c r="S73" s="62">
        <f t="shared" si="41"/>
        <v>-0.1060594833784206</v>
      </c>
      <c r="T73" s="62">
        <f t="shared" si="41"/>
        <v>-0.2711098429155151</v>
      </c>
      <c r="U73" s="62">
        <f t="shared" si="41"/>
        <v>0.50883783009637207</v>
      </c>
      <c r="V73" s="62">
        <v>0.689942458078181</v>
      </c>
    </row>
    <row r="74" spans="1:22" x14ac:dyDescent="0.3">
      <c r="A74" s="33">
        <v>98760</v>
      </c>
      <c r="B74" s="10">
        <f t="shared" ref="B74:J74" si="42">LOG(B56,2)</f>
        <v>1.0649519587078191</v>
      </c>
      <c r="C74" s="10">
        <f t="shared" si="42"/>
        <v>1.2839798724938232</v>
      </c>
      <c r="D74" s="10">
        <f t="shared" si="42"/>
        <v>-0.83768032832004014</v>
      </c>
      <c r="E74" s="10">
        <f t="shared" si="42"/>
        <v>1.550925016012151</v>
      </c>
      <c r="F74" s="10">
        <f t="shared" si="42"/>
        <v>-7.6249797537662589E-2</v>
      </c>
      <c r="G74" s="10">
        <f t="shared" si="42"/>
        <v>-0.75659418738938511</v>
      </c>
      <c r="H74" s="10">
        <f t="shared" si="42"/>
        <v>2.0561765284288476</v>
      </c>
      <c r="I74" s="10">
        <f t="shared" si="42"/>
        <v>1.2655209812579513</v>
      </c>
      <c r="J74" s="10">
        <f t="shared" si="42"/>
        <v>-1.1596564155169586</v>
      </c>
      <c r="L74" s="33">
        <v>98760</v>
      </c>
      <c r="M74" s="67">
        <f t="shared" ref="M74:U74" si="43">LOG(M56,2)</f>
        <v>1.0649519587078191</v>
      </c>
      <c r="N74" s="62">
        <f t="shared" si="43"/>
        <v>1.2839798724938232</v>
      </c>
      <c r="O74" s="68">
        <f t="shared" si="43"/>
        <v>-0.83768032832004014</v>
      </c>
      <c r="P74" s="63">
        <f t="shared" si="43"/>
        <v>1.550925016012151</v>
      </c>
      <c r="Q74" s="62">
        <f t="shared" si="43"/>
        <v>-7.6249797537662589E-2</v>
      </c>
      <c r="R74" s="62">
        <f t="shared" si="43"/>
        <v>-0.75659418738938511</v>
      </c>
      <c r="S74" s="62">
        <f t="shared" si="43"/>
        <v>2.0561765284288476</v>
      </c>
      <c r="T74" s="62">
        <f t="shared" si="43"/>
        <v>1.2655209812579513</v>
      </c>
      <c r="U74" s="62">
        <f t="shared" si="43"/>
        <v>-1.1596564155169586</v>
      </c>
      <c r="V74" s="62">
        <v>0.59117161347732095</v>
      </c>
    </row>
    <row r="75" spans="1:22" x14ac:dyDescent="0.3">
      <c r="A75" s="32">
        <v>111105</v>
      </c>
      <c r="B75" s="10">
        <f t="shared" ref="B75:J75" si="44">LOG(B57,2)</f>
        <v>-0.29498508350467378</v>
      </c>
      <c r="C75" s="10">
        <f t="shared" si="44"/>
        <v>-1.4320763811914767</v>
      </c>
      <c r="D75" s="10">
        <f t="shared" si="44"/>
        <v>-1.6199482487660752</v>
      </c>
      <c r="E75" s="10">
        <f t="shared" si="44"/>
        <v>-0.15427167899782776</v>
      </c>
      <c r="F75" s="10">
        <f t="shared" si="44"/>
        <v>1.7989320475804622</v>
      </c>
      <c r="G75" s="10">
        <f t="shared" si="44"/>
        <v>0.92765663464123949</v>
      </c>
      <c r="H75" s="10">
        <f t="shared" si="44"/>
        <v>-0.79873702590789963</v>
      </c>
      <c r="I75" s="10">
        <f t="shared" si="44"/>
        <v>1.3442912828673073</v>
      </c>
      <c r="J75" s="10">
        <f t="shared" si="44"/>
        <v>1.6039873352314564</v>
      </c>
      <c r="L75" s="32">
        <v>111105</v>
      </c>
      <c r="M75" s="67">
        <f t="shared" ref="M75:U75" si="45">LOG(M57,2)</f>
        <v>-0.29498508350467378</v>
      </c>
      <c r="N75" s="62">
        <f t="shared" si="45"/>
        <v>-1.4320763811914767</v>
      </c>
      <c r="O75" s="68">
        <f t="shared" si="45"/>
        <v>-1.6199482487660752</v>
      </c>
      <c r="P75" s="63">
        <f t="shared" si="45"/>
        <v>-0.15427167899782776</v>
      </c>
      <c r="Q75" s="62">
        <f t="shared" si="45"/>
        <v>1.7989320475804622</v>
      </c>
      <c r="R75" s="62">
        <f t="shared" si="45"/>
        <v>0.92765663464123949</v>
      </c>
      <c r="S75" s="62">
        <f t="shared" si="45"/>
        <v>-0.79873702590789963</v>
      </c>
      <c r="T75" s="62">
        <f t="shared" si="45"/>
        <v>1.3442912828673073</v>
      </c>
      <c r="U75" s="62">
        <f t="shared" si="45"/>
        <v>1.6039873352314564</v>
      </c>
      <c r="V75" s="62">
        <v>0.50762810253022606</v>
      </c>
    </row>
    <row r="76" spans="1:22" ht="15" thickBot="1" x14ac:dyDescent="0.35">
      <c r="A76" s="33">
        <v>123450</v>
      </c>
      <c r="B76" s="10">
        <f t="shared" ref="B76:J76" si="46">LOG(B58,2)</f>
        <v>1.8282706338995041</v>
      </c>
      <c r="C76" s="10">
        <f t="shared" si="46"/>
        <v>1.6942129457872086</v>
      </c>
      <c r="D76" s="10">
        <f t="shared" si="46"/>
        <v>1.2432830577966723</v>
      </c>
      <c r="E76" s="10">
        <f t="shared" si="46"/>
        <v>1.415106477728151</v>
      </c>
      <c r="F76" s="10">
        <f t="shared" si="46"/>
        <v>-0.75677092664837575</v>
      </c>
      <c r="G76" s="10">
        <f t="shared" si="46"/>
        <v>1.2750225966333175</v>
      </c>
      <c r="H76" s="10">
        <f t="shared" si="46"/>
        <v>1.8170294413084713</v>
      </c>
      <c r="I76" s="10">
        <f t="shared" si="46"/>
        <v>1.2108285630502869</v>
      </c>
      <c r="J76" s="10">
        <f t="shared" si="46"/>
        <v>0.4588351813030343</v>
      </c>
      <c r="L76" s="33">
        <v>123450</v>
      </c>
      <c r="M76" s="69">
        <f t="shared" ref="M76:U76" si="47">LOG(M58,2)</f>
        <v>1.8282706338995041</v>
      </c>
      <c r="N76" s="70">
        <f t="shared" si="47"/>
        <v>1.6942129457872086</v>
      </c>
      <c r="O76" s="71">
        <f t="shared" si="47"/>
        <v>1.2432830577966723</v>
      </c>
      <c r="P76" s="63">
        <f t="shared" si="47"/>
        <v>1.415106477728151</v>
      </c>
      <c r="Q76" s="62">
        <f t="shared" si="47"/>
        <v>-0.75677092664837575</v>
      </c>
      <c r="R76" s="62">
        <f t="shared" si="47"/>
        <v>1.2750225966333175</v>
      </c>
      <c r="S76" s="62">
        <f t="shared" si="47"/>
        <v>1.8170294413084713</v>
      </c>
      <c r="T76" s="62">
        <f t="shared" si="47"/>
        <v>1.2108285630502869</v>
      </c>
      <c r="U76" s="62">
        <f t="shared" si="47"/>
        <v>0.4588351813030343</v>
      </c>
      <c r="V76" s="62">
        <v>0.53793669261472898</v>
      </c>
    </row>
    <row r="77" spans="1:22" ht="15" thickBot="1" x14ac:dyDescent="0.35"/>
    <row r="78" spans="1:22" x14ac:dyDescent="0.3">
      <c r="A78" s="55" t="s">
        <v>36</v>
      </c>
      <c r="B78" s="60">
        <f>AVERAGE(Table8[seed_a_e])</f>
        <v>0.60190831249682486</v>
      </c>
      <c r="C78" s="61">
        <f>AVERAGE(Table8[seed_b_e])</f>
        <v>-1.523796494373566E-2</v>
      </c>
      <c r="D78" s="61">
        <f>AVERAGE(Table8[seed_d_e])</f>
        <v>-0.39343891209576876</v>
      </c>
      <c r="E78" s="61">
        <f>AVERAGE(Table8[seed_c_I_sst])</f>
        <v>0.73751479766666195</v>
      </c>
      <c r="F78" s="61">
        <f>AVERAGE(Table8[seed_c_I_vip])</f>
        <v>-4.7272278965473811E-3</v>
      </c>
      <c r="G78" s="61">
        <f>AVERAGE(Table8[seed_c_I_pv])</f>
        <v>0.40316291992952885</v>
      </c>
      <c r="H78" s="61">
        <f>AVERAGE(Table8[seed_r_0_sst])</f>
        <v>0.83586896856185056</v>
      </c>
      <c r="I78" s="61">
        <f>AVERAGE(Table8[seed_r_0_vip])</f>
        <v>0.64314872746237506</v>
      </c>
      <c r="J78" s="61">
        <f>AVERAGE(Table8[seed_r_0_pv])</f>
        <v>0.23061347902091037</v>
      </c>
    </row>
    <row r="79" spans="1:22" x14ac:dyDescent="0.3">
      <c r="A79" s="56" t="s">
        <v>37</v>
      </c>
      <c r="B79" s="60">
        <f>_xlfn.STDEV.P(Table8[seed_a_e])</f>
        <v>0.85213191293445278</v>
      </c>
      <c r="C79" s="61">
        <f>_xlfn.STDEV.P(Table8[seed_b_e])</f>
        <v>1.0743350798876476</v>
      </c>
      <c r="D79" s="61">
        <f>_xlfn.STDEV.P(Table8[seed_d_e])</f>
        <v>1.1137052135189141</v>
      </c>
      <c r="E79" s="61">
        <f>_xlfn.STDEV.P(Table8[seed_c_I_sst])</f>
        <v>0.63072386776436107</v>
      </c>
      <c r="F79" s="61">
        <f>_xlfn.STDEV.P(Table8[seed_c_I_vip])</f>
        <v>0.78933380511493467</v>
      </c>
      <c r="G79" s="61">
        <f>_xlfn.STDEV.P(Table8[seed_c_I_pv])</f>
        <v>0.80441948705957445</v>
      </c>
      <c r="H79" s="61">
        <f>_xlfn.STDEV.P(Table8[seed_r_0_sst])</f>
        <v>1.0096190037117496</v>
      </c>
      <c r="I79" s="61">
        <f>_xlfn.STDEV.P(Table8[seed_r_0_vip])</f>
        <v>0.91720315227571914</v>
      </c>
      <c r="J79" s="61">
        <f>_xlfn.STDEV.P(Table8[seed_r_0_pv])</f>
        <v>1.0979835831797293</v>
      </c>
    </row>
    <row r="80" spans="1:22" ht="15" thickBot="1" x14ac:dyDescent="0.35">
      <c r="A80" s="57" t="s">
        <v>60</v>
      </c>
      <c r="B80" s="60">
        <f>B79/B78</f>
        <v>1.4157171370497528</v>
      </c>
      <c r="C80" s="61">
        <f t="shared" ref="C80:J80" si="48">C79/C78</f>
        <v>-70.503842465480119</v>
      </c>
      <c r="D80" s="61">
        <f t="shared" si="48"/>
        <v>-2.830694116111784</v>
      </c>
      <c r="E80" s="61">
        <f t="shared" si="48"/>
        <v>0.85520164444135305</v>
      </c>
      <c r="F80" s="61">
        <f t="shared" si="48"/>
        <v>-166.97604227869769</v>
      </c>
      <c r="G80" s="61">
        <f t="shared" si="48"/>
        <v>1.9952715076083474</v>
      </c>
      <c r="H80" s="61">
        <f t="shared" si="48"/>
        <v>1.2078675506387606</v>
      </c>
      <c r="I80" s="61">
        <f t="shared" si="48"/>
        <v>1.426113608114659</v>
      </c>
      <c r="J80" s="61">
        <f t="shared" si="48"/>
        <v>4.7611422707870954</v>
      </c>
    </row>
    <row r="90" spans="1:21" ht="15" thickBot="1" x14ac:dyDescent="0.35"/>
    <row r="91" spans="1:21" ht="15" thickBot="1" x14ac:dyDescent="0.35">
      <c r="A91" s="115" t="s">
        <v>124</v>
      </c>
    </row>
    <row r="92" spans="1:21" ht="15" thickBot="1" x14ac:dyDescent="0.35">
      <c r="A92" s="8" t="s">
        <v>18</v>
      </c>
      <c r="B92" s="8" t="s">
        <v>20</v>
      </c>
      <c r="C92" s="8" t="s">
        <v>59</v>
      </c>
      <c r="D92" s="8" t="s">
        <v>123</v>
      </c>
      <c r="E92" s="8" t="s">
        <v>68</v>
      </c>
      <c r="F92" s="9" t="s">
        <v>69</v>
      </c>
    </row>
    <row r="93" spans="1:21" x14ac:dyDescent="0.3">
      <c r="A93" s="52">
        <v>12345</v>
      </c>
      <c r="B93" s="79">
        <v>0.712406808509643</v>
      </c>
      <c r="C93" s="23">
        <v>0.60391527521822497</v>
      </c>
      <c r="D93" s="97" t="s">
        <v>70</v>
      </c>
      <c r="E93" s="97" t="s">
        <v>70</v>
      </c>
      <c r="F93" s="97" t="s">
        <v>70</v>
      </c>
      <c r="T93" s="94" t="s">
        <v>3</v>
      </c>
      <c r="U93" s="94" t="s">
        <v>6</v>
      </c>
    </row>
    <row r="94" spans="1:21" x14ac:dyDescent="0.3">
      <c r="A94" s="53">
        <v>49380</v>
      </c>
      <c r="B94" s="80">
        <v>0.67887988874580396</v>
      </c>
      <c r="C94" s="24">
        <v>0.52520044160502999</v>
      </c>
      <c r="D94" s="62" t="s">
        <v>71</v>
      </c>
      <c r="E94" s="62" t="s">
        <v>71</v>
      </c>
      <c r="F94" s="62" t="s">
        <v>71</v>
      </c>
      <c r="T94" s="96">
        <v>2.4693932221661439</v>
      </c>
      <c r="U94" s="97">
        <v>4.2323150644463636</v>
      </c>
    </row>
    <row r="95" spans="1:21" x14ac:dyDescent="0.3">
      <c r="A95" s="53">
        <v>98760</v>
      </c>
      <c r="B95" s="80">
        <v>0.65351070789674404</v>
      </c>
      <c r="C95" s="24">
        <v>0.59117161347732095</v>
      </c>
      <c r="D95" s="97" t="s">
        <v>70</v>
      </c>
      <c r="E95" s="97" t="s">
        <v>71</v>
      </c>
      <c r="F95" s="97" t="s">
        <v>71</v>
      </c>
      <c r="T95" s="63">
        <v>2.1359734407797122</v>
      </c>
      <c r="U95" s="62">
        <v>3.3284810109961214</v>
      </c>
    </row>
    <row r="96" spans="1:21" x14ac:dyDescent="0.3">
      <c r="A96" s="53">
        <v>74070</v>
      </c>
      <c r="B96" s="80">
        <v>0.61136346201208103</v>
      </c>
      <c r="C96" s="24">
        <v>0.54313186736951702</v>
      </c>
      <c r="D96" s="62" t="s">
        <v>71</v>
      </c>
      <c r="E96" s="62" t="s">
        <v>71</v>
      </c>
      <c r="F96" s="62" t="s">
        <v>71</v>
      </c>
      <c r="T96" s="96">
        <v>1.2095682013609546</v>
      </c>
      <c r="U96" s="97">
        <v>1.0401550241609454</v>
      </c>
    </row>
    <row r="97" spans="1:21" x14ac:dyDescent="0.3">
      <c r="A97" s="52">
        <v>111105</v>
      </c>
      <c r="B97" s="81">
        <v>0.60026349158933801</v>
      </c>
      <c r="C97" s="23">
        <v>0.50762810253022606</v>
      </c>
      <c r="D97" s="97" t="s">
        <v>70</v>
      </c>
      <c r="E97" s="97" t="s">
        <v>70</v>
      </c>
      <c r="F97" s="97" t="s">
        <v>70</v>
      </c>
      <c r="T97" s="63">
        <v>0.99123077135817428</v>
      </c>
      <c r="U97" s="62">
        <v>0.98923642634283937</v>
      </c>
    </row>
    <row r="98" spans="1:21" x14ac:dyDescent="0.3">
      <c r="A98" s="52">
        <v>37035</v>
      </c>
      <c r="B98" s="81">
        <v>0.59089730657681105</v>
      </c>
      <c r="C98" s="23">
        <v>0.66176179774459298</v>
      </c>
      <c r="D98" s="97" t="s">
        <v>70</v>
      </c>
      <c r="E98" s="97" t="s">
        <v>70</v>
      </c>
      <c r="F98" s="97" t="s">
        <v>71</v>
      </c>
      <c r="T98" s="96">
        <v>1.6622753776717727</v>
      </c>
      <c r="U98" s="97">
        <v>1.2108064443826665</v>
      </c>
    </row>
    <row r="99" spans="1:21" x14ac:dyDescent="0.3">
      <c r="A99" s="52">
        <v>86415</v>
      </c>
      <c r="B99" s="81">
        <v>0.55681124125554704</v>
      </c>
      <c r="C99" s="23">
        <v>0.689942458078181</v>
      </c>
      <c r="D99" s="97" t="s">
        <v>70</v>
      </c>
      <c r="E99" s="97" t="s">
        <v>70</v>
      </c>
      <c r="F99" s="97" t="s">
        <v>71</v>
      </c>
      <c r="T99" s="63">
        <v>2.3180608119539698</v>
      </c>
      <c r="U99" s="62">
        <v>2.3896762324972909</v>
      </c>
    </row>
    <row r="100" spans="1:21" x14ac:dyDescent="0.3">
      <c r="A100" s="53">
        <v>123450</v>
      </c>
      <c r="B100" s="80">
        <v>0.52796028692755004</v>
      </c>
      <c r="C100" s="24">
        <v>0.53793669261472898</v>
      </c>
      <c r="D100" s="97" t="s">
        <v>70</v>
      </c>
      <c r="E100" s="97" t="s">
        <v>70</v>
      </c>
      <c r="F100" s="97" t="s">
        <v>71</v>
      </c>
      <c r="T100" s="96">
        <v>0.97028135238825008</v>
      </c>
      <c r="U100" s="97">
        <v>0.92912236506217571</v>
      </c>
    </row>
    <row r="101" spans="1:21" x14ac:dyDescent="0.3">
      <c r="A101" s="52">
        <v>61725</v>
      </c>
      <c r="B101" s="81">
        <v>0.51157923348573597</v>
      </c>
      <c r="C101" s="23">
        <v>0.65013584412540804</v>
      </c>
      <c r="D101" s="97" t="s">
        <v>70</v>
      </c>
      <c r="E101" s="97" t="s">
        <v>70</v>
      </c>
      <c r="F101" s="97" t="s">
        <v>71</v>
      </c>
      <c r="T101" s="63">
        <v>2.9300494561210075</v>
      </c>
      <c r="U101" s="62">
        <v>4.1588265843502423</v>
      </c>
    </row>
    <row r="102" spans="1:21" ht="15" thickBot="1" x14ac:dyDescent="0.35">
      <c r="A102" s="53">
        <v>24690</v>
      </c>
      <c r="B102" s="82">
        <v>0.48840316014479601</v>
      </c>
      <c r="C102" s="24">
        <v>0.48624727790761502</v>
      </c>
      <c r="D102" s="62" t="s">
        <v>71</v>
      </c>
      <c r="E102" s="62" t="s">
        <v>71</v>
      </c>
      <c r="F102" s="62" t="s">
        <v>71</v>
      </c>
      <c r="T102" s="96">
        <v>0.89858589479412887</v>
      </c>
      <c r="U102" s="97">
        <v>0.57485219838322121</v>
      </c>
    </row>
    <row r="103" spans="1:21" x14ac:dyDescent="0.3">
      <c r="T103" s="63">
        <v>2.6667941689618107</v>
      </c>
      <c r="U103" s="62">
        <v>3.5235494014104844</v>
      </c>
    </row>
    <row r="105" spans="1:21" x14ac:dyDescent="0.3">
      <c r="T105" s="94" t="s">
        <v>4</v>
      </c>
      <c r="U105" s="94" t="s">
        <v>7</v>
      </c>
    </row>
    <row r="106" spans="1:21" x14ac:dyDescent="0.3">
      <c r="T106" s="97">
        <v>0.56653283755186434</v>
      </c>
      <c r="U106" s="97">
        <v>3.9022623769436366</v>
      </c>
    </row>
    <row r="107" spans="1:21" x14ac:dyDescent="0.3">
      <c r="T107" s="62">
        <v>0.99752166924869701</v>
      </c>
      <c r="U107" s="62">
        <v>0.80802691626256673</v>
      </c>
    </row>
    <row r="108" spans="1:21" x14ac:dyDescent="0.3">
      <c r="E108" s="113"/>
      <c r="F108" s="105"/>
      <c r="G108" s="114"/>
      <c r="H108" s="113"/>
      <c r="I108" s="105"/>
      <c r="J108" s="114"/>
      <c r="T108" s="97">
        <v>0.6690197144616038</v>
      </c>
      <c r="U108" s="97">
        <v>1.1188254856170972</v>
      </c>
    </row>
    <row r="109" spans="1:21" ht="15" thickBot="1" x14ac:dyDescent="0.35">
      <c r="A109" t="s">
        <v>18</v>
      </c>
      <c r="B109" t="s">
        <v>0</v>
      </c>
      <c r="C109" t="s">
        <v>1</v>
      </c>
      <c r="D109" t="s">
        <v>2</v>
      </c>
      <c r="E109" t="s">
        <v>3</v>
      </c>
      <c r="F109" t="s">
        <v>4</v>
      </c>
      <c r="G109" t="s">
        <v>5</v>
      </c>
      <c r="H109" t="s">
        <v>6</v>
      </c>
      <c r="I109" t="s">
        <v>7</v>
      </c>
      <c r="J109" t="s">
        <v>8</v>
      </c>
      <c r="K109" t="s">
        <v>59</v>
      </c>
      <c r="T109" s="62">
        <v>1.0004182281782272</v>
      </c>
      <c r="U109" s="62">
        <v>0.95785527468573939</v>
      </c>
    </row>
    <row r="110" spans="1:21" x14ac:dyDescent="0.3">
      <c r="A110">
        <v>86415</v>
      </c>
      <c r="B110" s="64">
        <v>0.8596950241667185</v>
      </c>
      <c r="C110" s="65">
        <v>1.0199142488163242</v>
      </c>
      <c r="D110" s="66">
        <v>0.3264022073669513</v>
      </c>
      <c r="E110" s="63">
        <v>0.97028135238825008</v>
      </c>
      <c r="F110" s="62">
        <v>0.57358647086490222</v>
      </c>
      <c r="G110" s="62">
        <v>0.85293908330560908</v>
      </c>
      <c r="H110" s="62">
        <v>0.92912236506217571</v>
      </c>
      <c r="I110" s="62">
        <v>0.82868180848462425</v>
      </c>
      <c r="J110" s="62">
        <v>1.4229035070601472</v>
      </c>
      <c r="K110" s="72">
        <v>0.689942458078181</v>
      </c>
      <c r="T110" s="97">
        <v>1.6952599902315453</v>
      </c>
      <c r="U110" s="97">
        <v>3.4442998367507274</v>
      </c>
    </row>
    <row r="111" spans="1:21" x14ac:dyDescent="0.3">
      <c r="A111">
        <v>37035</v>
      </c>
      <c r="B111" s="67">
        <v>1.013852573310948</v>
      </c>
      <c r="C111" s="62">
        <v>1.3315982811204317</v>
      </c>
      <c r="D111" s="68">
        <v>0.99051611930270134</v>
      </c>
      <c r="E111" s="63">
        <v>1.2095682013609546</v>
      </c>
      <c r="F111" s="62">
        <v>0.6690197144616038</v>
      </c>
      <c r="G111" s="62">
        <v>1.0297531392620909</v>
      </c>
      <c r="H111" s="62">
        <v>1.0401550241609454</v>
      </c>
      <c r="I111" s="62">
        <v>1.1188254856170972</v>
      </c>
      <c r="J111" s="62">
        <v>1.0101821342935104</v>
      </c>
      <c r="K111" s="62">
        <v>0.66176179774459298</v>
      </c>
      <c r="T111" s="62">
        <v>1.3470949093450075</v>
      </c>
      <c r="U111" s="62">
        <v>0.63335878413151825</v>
      </c>
    </row>
    <row r="112" spans="1:21" x14ac:dyDescent="0.3">
      <c r="A112">
        <v>61725</v>
      </c>
      <c r="B112" s="67">
        <v>2.5452757262170222</v>
      </c>
      <c r="C112" s="62">
        <v>0.42144086363350186</v>
      </c>
      <c r="D112" s="68">
        <v>1.540031794847182</v>
      </c>
      <c r="E112" s="63">
        <v>1.6622753776717727</v>
      </c>
      <c r="F112" s="62">
        <v>1.6952599902315453</v>
      </c>
      <c r="G112" s="62">
        <v>2.2958241789090819</v>
      </c>
      <c r="H112" s="62">
        <v>1.2108064443826665</v>
      </c>
      <c r="I112" s="62">
        <v>3.4442998367507274</v>
      </c>
      <c r="J112" s="62">
        <v>0.52356982480844416</v>
      </c>
      <c r="K112" s="62">
        <v>0.65013584412540804</v>
      </c>
      <c r="T112" s="97">
        <v>0.57358647086490222</v>
      </c>
      <c r="U112" s="97">
        <v>0.82868180848462425</v>
      </c>
    </row>
    <row r="113" spans="1:21" x14ac:dyDescent="0.3">
      <c r="A113">
        <v>12345</v>
      </c>
      <c r="B113" s="67">
        <v>3.7015741310872814</v>
      </c>
      <c r="C113" s="62">
        <v>0.37083115765629815</v>
      </c>
      <c r="D113" s="68">
        <v>2.3662280335415846</v>
      </c>
      <c r="E113" s="63">
        <v>2.4693932221661439</v>
      </c>
      <c r="F113" s="62">
        <v>0.56653283755186434</v>
      </c>
      <c r="G113" s="62">
        <v>2.4136252561621121</v>
      </c>
      <c r="H113" s="62">
        <v>4.2323150644463636</v>
      </c>
      <c r="I113" s="62">
        <v>3.9022623769436366</v>
      </c>
      <c r="J113" s="62">
        <v>4.0071833665052106</v>
      </c>
      <c r="K113" s="62">
        <v>0.60391527521822497</v>
      </c>
      <c r="T113" s="62">
        <v>0.94852006803044697</v>
      </c>
      <c r="U113" s="62">
        <v>2.4041401174379877</v>
      </c>
    </row>
    <row r="114" spans="1:21" x14ac:dyDescent="0.3">
      <c r="A114">
        <v>98760</v>
      </c>
      <c r="B114" s="67">
        <v>2.092100212144496</v>
      </c>
      <c r="C114" s="62">
        <v>2.435098064246537</v>
      </c>
      <c r="D114" s="68">
        <v>0.55954251994784743</v>
      </c>
      <c r="E114" s="63">
        <v>2.9300494561210075</v>
      </c>
      <c r="F114" s="62">
        <v>0.94852006803044697</v>
      </c>
      <c r="G114" s="62">
        <v>0.59189197949472416</v>
      </c>
      <c r="H114" s="62">
        <v>4.1588265843502423</v>
      </c>
      <c r="I114" s="62">
        <v>2.4041401174379877</v>
      </c>
      <c r="J114" s="62">
        <v>0.44761912533182319</v>
      </c>
      <c r="K114" s="62">
        <v>0.59117161347732095</v>
      </c>
      <c r="T114" s="97">
        <v>3.4796255130359848</v>
      </c>
      <c r="U114" s="97">
        <v>2.5390543601866122</v>
      </c>
    </row>
    <row r="115" spans="1:21" x14ac:dyDescent="0.3">
      <c r="A115">
        <v>74070</v>
      </c>
      <c r="B115" s="67">
        <v>1.7775901981836961</v>
      </c>
      <c r="C115" s="62">
        <v>0.72494472410469257</v>
      </c>
      <c r="D115" s="68">
        <v>0.37051343827471106</v>
      </c>
      <c r="E115" s="63">
        <v>2.3180608119539698</v>
      </c>
      <c r="F115" s="62">
        <v>1.3470949093450075</v>
      </c>
      <c r="G115" s="62">
        <v>2.1782135934575275</v>
      </c>
      <c r="H115" s="62">
        <v>2.3896762324972909</v>
      </c>
      <c r="I115" s="62">
        <v>0.63335878413151825</v>
      </c>
      <c r="J115" s="62">
        <v>0.38310460441034316</v>
      </c>
      <c r="K115" s="62">
        <v>0.54313186736951702</v>
      </c>
      <c r="T115" s="62">
        <v>0.59181947342834929</v>
      </c>
      <c r="U115" s="62">
        <v>2.314705358795603</v>
      </c>
    </row>
    <row r="116" spans="1:21" x14ac:dyDescent="0.3">
      <c r="A116">
        <v>123450</v>
      </c>
      <c r="B116" s="67">
        <v>3.5511114364856962</v>
      </c>
      <c r="C116" s="62">
        <v>3.2360030012112038</v>
      </c>
      <c r="D116" s="68">
        <v>2.3673664769349285</v>
      </c>
      <c r="E116" s="63">
        <v>2.6667941689618107</v>
      </c>
      <c r="F116" s="62">
        <v>0.59181947342834929</v>
      </c>
      <c r="G116" s="62">
        <v>2.4200260825085391</v>
      </c>
      <c r="H116" s="62">
        <v>3.5235494014104844</v>
      </c>
      <c r="I116" s="62">
        <v>2.314705358795603</v>
      </c>
      <c r="J116" s="62">
        <v>1.3744316665601157</v>
      </c>
      <c r="K116" s="62">
        <v>0.53793669261472898</v>
      </c>
    </row>
    <row r="117" spans="1:21" x14ac:dyDescent="0.3">
      <c r="A117">
        <v>49380</v>
      </c>
      <c r="B117" s="67">
        <v>1.0019058001621037</v>
      </c>
      <c r="C117" s="62">
        <v>1.0063264095064612</v>
      </c>
      <c r="D117" s="68">
        <v>1.036578884738854</v>
      </c>
      <c r="E117" s="63">
        <v>0.99123077135817428</v>
      </c>
      <c r="F117" s="62">
        <v>1.0004182281782272</v>
      </c>
      <c r="G117" s="62">
        <v>0.99776518683000603</v>
      </c>
      <c r="H117" s="62">
        <v>0.98923642634283937</v>
      </c>
      <c r="I117" s="62">
        <v>0.95785527468573939</v>
      </c>
      <c r="J117" s="62">
        <v>1.0072851214242537</v>
      </c>
      <c r="K117" s="62">
        <v>0.52520044160502999</v>
      </c>
      <c r="T117" s="94" t="s">
        <v>5</v>
      </c>
      <c r="U117" s="94" t="s">
        <v>8</v>
      </c>
    </row>
    <row r="118" spans="1:21" x14ac:dyDescent="0.3">
      <c r="A118">
        <v>111105</v>
      </c>
      <c r="B118" s="67">
        <v>0.8150807597453037</v>
      </c>
      <c r="C118" s="62">
        <v>0.37059713125636112</v>
      </c>
      <c r="D118" s="68">
        <v>0.32534713425040906</v>
      </c>
      <c r="E118" s="63">
        <v>0.89858589479412887</v>
      </c>
      <c r="F118" s="62">
        <v>3.4796255130359848</v>
      </c>
      <c r="G118" s="62">
        <v>1.9021837738526788</v>
      </c>
      <c r="H118" s="62">
        <v>0.57485219838322121</v>
      </c>
      <c r="I118" s="62">
        <v>2.5390543601866122</v>
      </c>
      <c r="J118" s="62">
        <v>3.0398230274516944</v>
      </c>
      <c r="K118" s="62">
        <v>0.50762810253022606</v>
      </c>
      <c r="T118" s="97">
        <v>2.4136252561621121</v>
      </c>
      <c r="U118" s="97">
        <v>4.0071833665052106</v>
      </c>
    </row>
    <row r="119" spans="1:21" ht="15" thickBot="1" x14ac:dyDescent="0.35">
      <c r="A119">
        <v>24690</v>
      </c>
      <c r="B119" s="69">
        <v>0.73228155523426586</v>
      </c>
      <c r="C119" s="70">
        <v>1.9897944784678703</v>
      </c>
      <c r="D119" s="71">
        <v>0.33541157594627274</v>
      </c>
      <c r="E119" s="63">
        <v>2.1359734407797122</v>
      </c>
      <c r="F119" s="62">
        <v>0.99752166924869701</v>
      </c>
      <c r="G119" s="62">
        <v>0.56746349470196666</v>
      </c>
      <c r="H119" s="62">
        <v>3.3284810109961214</v>
      </c>
      <c r="I119" s="62">
        <v>0.80802691626256673</v>
      </c>
      <c r="J119" s="62">
        <v>2.272358817360137</v>
      </c>
      <c r="K119" s="73">
        <v>0.48624727790761502</v>
      </c>
      <c r="T119" s="62">
        <v>0.56746349470196666</v>
      </c>
      <c r="U119" s="62">
        <v>2.272358817360137</v>
      </c>
    </row>
    <row r="120" spans="1:21" x14ac:dyDescent="0.3">
      <c r="T120" s="97">
        <v>1.0297531392620909</v>
      </c>
      <c r="U120" s="97">
        <v>1.0101821342935104</v>
      </c>
    </row>
    <row r="121" spans="1:21" x14ac:dyDescent="0.3">
      <c r="T121" s="62">
        <v>0.99776518683000603</v>
      </c>
      <c r="U121" s="62">
        <v>1.0072851214242537</v>
      </c>
    </row>
    <row r="122" spans="1:21" x14ac:dyDescent="0.3">
      <c r="T122" s="97">
        <v>2.2958241789090819</v>
      </c>
      <c r="U122" s="97">
        <v>0.52356982480844416</v>
      </c>
    </row>
    <row r="123" spans="1:21" x14ac:dyDescent="0.3">
      <c r="T123" s="62">
        <v>2.1782135934575275</v>
      </c>
      <c r="U123" s="62">
        <v>0.38310460441034316</v>
      </c>
    </row>
    <row r="124" spans="1:21" x14ac:dyDescent="0.3">
      <c r="T124" s="97">
        <v>0.85293908330560908</v>
      </c>
      <c r="U124" s="97">
        <v>1.4229035070601472</v>
      </c>
    </row>
    <row r="125" spans="1:21" x14ac:dyDescent="0.3">
      <c r="T125" s="62">
        <v>0.59189197949472416</v>
      </c>
      <c r="U125" s="62">
        <v>0.44761912533182319</v>
      </c>
    </row>
    <row r="126" spans="1:21" x14ac:dyDescent="0.3">
      <c r="T126" s="97">
        <v>1.9021837738526788</v>
      </c>
      <c r="U126" s="97">
        <v>3.0398230274516944</v>
      </c>
    </row>
    <row r="127" spans="1:21" x14ac:dyDescent="0.3">
      <c r="T127" s="62">
        <v>2.4200260825085391</v>
      </c>
      <c r="U127" s="62">
        <v>1.3744316665601157</v>
      </c>
    </row>
    <row r="129" spans="8:22" ht="15" thickBot="1" x14ac:dyDescent="0.35"/>
    <row r="130" spans="8:22" ht="15" thickBot="1" x14ac:dyDescent="0.35">
      <c r="K130" s="108" t="s">
        <v>117</v>
      </c>
      <c r="N130" s="108" t="s">
        <v>114</v>
      </c>
      <c r="Q130" s="108" t="s">
        <v>115</v>
      </c>
      <c r="T130" s="108" t="s">
        <v>116</v>
      </c>
    </row>
    <row r="131" spans="8:22" ht="15" thickBot="1" x14ac:dyDescent="0.35">
      <c r="I131" s="95" t="s">
        <v>59</v>
      </c>
      <c r="J131" s="76" t="s">
        <v>18</v>
      </c>
      <c r="K131" s="8" t="s">
        <v>0</v>
      </c>
      <c r="L131" s="94" t="s">
        <v>1</v>
      </c>
      <c r="M131" s="94" t="s">
        <v>2</v>
      </c>
      <c r="N131" s="98" t="s">
        <v>3</v>
      </c>
      <c r="O131" s="99" t="s">
        <v>6</v>
      </c>
      <c r="Q131" s="98" t="s">
        <v>4</v>
      </c>
      <c r="R131" s="99" t="s">
        <v>7</v>
      </c>
      <c r="T131" s="98" t="s">
        <v>5</v>
      </c>
      <c r="U131" s="99" t="s">
        <v>8</v>
      </c>
    </row>
    <row r="132" spans="8:22" x14ac:dyDescent="0.3">
      <c r="H132" s="113"/>
      <c r="I132" s="111">
        <v>0.60391527521822497</v>
      </c>
      <c r="J132" s="77">
        <v>12345</v>
      </c>
      <c r="K132" s="102">
        <v>3.7015741310872814</v>
      </c>
      <c r="L132" s="103">
        <v>0.37083115765629815</v>
      </c>
      <c r="M132" s="104">
        <v>2.3662280335415846</v>
      </c>
      <c r="N132" s="100">
        <v>2.4693932221661439</v>
      </c>
      <c r="O132" s="101">
        <v>4.2323150644463636</v>
      </c>
      <c r="P132">
        <f>O132/N132</f>
        <v>1.7139089175655022</v>
      </c>
      <c r="Q132" s="100">
        <v>0.56653283755186434</v>
      </c>
      <c r="R132" s="101">
        <v>3.9022623769436366</v>
      </c>
      <c r="S132">
        <f>R132/Q132</f>
        <v>6.8879720967390465</v>
      </c>
      <c r="T132" s="100">
        <v>2.4136252561621121</v>
      </c>
      <c r="U132" s="101">
        <v>4.0071833665052106</v>
      </c>
      <c r="V132">
        <f>U132/T132</f>
        <v>1.660234270533365</v>
      </c>
    </row>
    <row r="133" spans="8:22" x14ac:dyDescent="0.3">
      <c r="I133" s="112">
        <v>0.48624727790761502</v>
      </c>
      <c r="J133" s="78">
        <v>24690</v>
      </c>
      <c r="K133" s="67">
        <v>0.73228155523426586</v>
      </c>
      <c r="L133" s="62">
        <v>1.9897944784678703</v>
      </c>
      <c r="M133" s="68">
        <v>0.33541157594627274</v>
      </c>
      <c r="N133" s="67">
        <v>2.1359734407797122</v>
      </c>
      <c r="O133" s="68">
        <v>3.3284810109961214</v>
      </c>
      <c r="P133">
        <f t="shared" ref="P133:P141" si="49">O133/N133</f>
        <v>1.5582970028789769</v>
      </c>
      <c r="Q133" s="67">
        <v>0.99752166924869701</v>
      </c>
      <c r="R133" s="68">
        <v>0.80802691626256673</v>
      </c>
      <c r="S133">
        <f t="shared" ref="S133:S141" si="50">R133/Q133</f>
        <v>0.81003444954849757</v>
      </c>
      <c r="T133" s="67">
        <v>0.56746349470196666</v>
      </c>
      <c r="U133" s="68">
        <v>2.272358817360137</v>
      </c>
      <c r="V133">
        <f t="shared" ref="V133:V141" si="51">U133/T133</f>
        <v>4.0044140963703505</v>
      </c>
    </row>
    <row r="134" spans="8:22" x14ac:dyDescent="0.3">
      <c r="I134" s="111">
        <v>0.66176179774459298</v>
      </c>
      <c r="J134" s="77">
        <v>37035</v>
      </c>
      <c r="K134" s="100">
        <v>1.013852573310948</v>
      </c>
      <c r="L134" s="97">
        <v>1.3315982811204317</v>
      </c>
      <c r="M134" s="101">
        <v>0.99051611930270134</v>
      </c>
      <c r="N134" s="100">
        <v>1.2095682013609546</v>
      </c>
      <c r="O134" s="101">
        <v>1.0401550241609454</v>
      </c>
      <c r="P134">
        <f t="shared" si="49"/>
        <v>0.85993912785621129</v>
      </c>
      <c r="Q134" s="100">
        <v>0.6690197144616038</v>
      </c>
      <c r="R134" s="101">
        <v>1.1188254856170972</v>
      </c>
      <c r="S134">
        <f t="shared" si="50"/>
        <v>1.6723356000315721</v>
      </c>
      <c r="T134" s="100">
        <v>1.0297531392620909</v>
      </c>
      <c r="U134" s="101">
        <v>1.0101821342935104</v>
      </c>
      <c r="V134">
        <f t="shared" si="51"/>
        <v>0.98099446923501998</v>
      </c>
    </row>
    <row r="135" spans="8:22" x14ac:dyDescent="0.3">
      <c r="I135" s="112">
        <v>0.52520044160502999</v>
      </c>
      <c r="J135" s="78">
        <v>49380</v>
      </c>
      <c r="K135" s="67">
        <v>1.0019058001621037</v>
      </c>
      <c r="L135" s="62">
        <v>1.0063264095064612</v>
      </c>
      <c r="M135" s="68">
        <v>1.036578884738854</v>
      </c>
      <c r="N135" s="67">
        <v>0.99123077135817428</v>
      </c>
      <c r="O135" s="68">
        <v>0.98923642634283937</v>
      </c>
      <c r="P135">
        <f t="shared" si="49"/>
        <v>0.99798801139657689</v>
      </c>
      <c r="Q135" s="67">
        <v>1.0004182281782272</v>
      </c>
      <c r="R135" s="68">
        <v>0.95785527468573939</v>
      </c>
      <c r="S135">
        <f t="shared" si="50"/>
        <v>0.95745484009223281</v>
      </c>
      <c r="T135" s="67">
        <v>0.99776518683000603</v>
      </c>
      <c r="U135" s="68">
        <v>1.0072851214242537</v>
      </c>
      <c r="V135">
        <f t="shared" si="51"/>
        <v>1.0095412575222167</v>
      </c>
    </row>
    <row r="136" spans="8:22" x14ac:dyDescent="0.3">
      <c r="I136" s="111">
        <v>0.65013584412540804</v>
      </c>
      <c r="J136" s="77">
        <v>61725</v>
      </c>
      <c r="K136" s="100">
        <v>2.5452757262170222</v>
      </c>
      <c r="L136" s="97">
        <v>0.42144086363350186</v>
      </c>
      <c r="M136" s="101">
        <v>1.540031794847182</v>
      </c>
      <c r="N136" s="100">
        <v>1.6622753776717727</v>
      </c>
      <c r="O136" s="101">
        <v>1.2108064443826665</v>
      </c>
      <c r="P136">
        <f t="shared" si="49"/>
        <v>0.7284030435911012</v>
      </c>
      <c r="Q136" s="100">
        <v>1.6952599902315453</v>
      </c>
      <c r="R136" s="101">
        <v>3.4442998367507274</v>
      </c>
      <c r="S136">
        <f t="shared" si="50"/>
        <v>2.0317236627995281</v>
      </c>
      <c r="T136" s="100">
        <v>2.2958241789090819</v>
      </c>
      <c r="U136" s="101">
        <v>0.52356982480844416</v>
      </c>
      <c r="V136">
        <f t="shared" si="51"/>
        <v>0.22805310163482617</v>
      </c>
    </row>
    <row r="137" spans="8:22" x14ac:dyDescent="0.3">
      <c r="I137" s="112">
        <v>0.54313186736951702</v>
      </c>
      <c r="J137" s="78">
        <v>74070</v>
      </c>
      <c r="K137" s="67">
        <v>1.7775901981836961</v>
      </c>
      <c r="L137" s="62">
        <v>0.72494472410469257</v>
      </c>
      <c r="M137" s="68">
        <v>0.37051343827471106</v>
      </c>
      <c r="N137" s="67">
        <v>2.3180608119539698</v>
      </c>
      <c r="O137" s="68">
        <v>2.3896762324972909</v>
      </c>
      <c r="P137">
        <f t="shared" si="49"/>
        <v>1.0308945391656719</v>
      </c>
      <c r="Q137" s="67">
        <v>1.3470949093450075</v>
      </c>
      <c r="R137" s="68">
        <v>0.63335878413151825</v>
      </c>
      <c r="S137">
        <f t="shared" si="50"/>
        <v>0.47016641495547906</v>
      </c>
      <c r="T137" s="67">
        <v>2.1782135934575275</v>
      </c>
      <c r="U137" s="68">
        <v>0.38310460441034316</v>
      </c>
      <c r="V137">
        <f t="shared" si="51"/>
        <v>0.1758801825317014</v>
      </c>
    </row>
    <row r="138" spans="8:22" x14ac:dyDescent="0.3">
      <c r="I138" s="111">
        <v>0.689942458078181</v>
      </c>
      <c r="J138" s="77">
        <v>86415</v>
      </c>
      <c r="K138" s="100">
        <v>0.8596950241667185</v>
      </c>
      <c r="L138" s="97">
        <v>1.0199142488163242</v>
      </c>
      <c r="M138" s="101">
        <v>0.3264022073669513</v>
      </c>
      <c r="N138" s="100">
        <v>0.97028135238825008</v>
      </c>
      <c r="O138" s="101">
        <v>0.92912236506217571</v>
      </c>
      <c r="P138">
        <f t="shared" si="49"/>
        <v>0.95758035829013344</v>
      </c>
      <c r="Q138" s="100">
        <v>0.57358647086490222</v>
      </c>
      <c r="R138" s="101">
        <v>0.82868180848462425</v>
      </c>
      <c r="S138">
        <f t="shared" si="50"/>
        <v>1.4447373684303741</v>
      </c>
      <c r="T138" s="100">
        <v>0.85293908330560908</v>
      </c>
      <c r="U138" s="101">
        <v>1.4229035070601472</v>
      </c>
      <c r="V138">
        <f t="shared" si="51"/>
        <v>1.6682357918757948</v>
      </c>
    </row>
    <row r="139" spans="8:22" x14ac:dyDescent="0.3">
      <c r="I139" s="112">
        <v>0.59117161347732095</v>
      </c>
      <c r="J139" s="78">
        <v>98760</v>
      </c>
      <c r="K139" s="67">
        <v>2.092100212144496</v>
      </c>
      <c r="L139" s="62">
        <v>2.435098064246537</v>
      </c>
      <c r="M139" s="68">
        <v>0.55954251994784743</v>
      </c>
      <c r="N139" s="67">
        <v>2.9300494561210075</v>
      </c>
      <c r="O139" s="68">
        <v>4.1588265843502423</v>
      </c>
      <c r="P139">
        <f t="shared" si="49"/>
        <v>1.4193707808113147</v>
      </c>
      <c r="Q139" s="67">
        <v>0.94852006803044697</v>
      </c>
      <c r="R139" s="68">
        <v>2.4041401174379877</v>
      </c>
      <c r="S139">
        <f t="shared" si="50"/>
        <v>2.5346223010653435</v>
      </c>
      <c r="T139" s="67">
        <v>0.59189197949472416</v>
      </c>
      <c r="U139" s="68">
        <v>0.44761912533182319</v>
      </c>
      <c r="V139">
        <f t="shared" si="51"/>
        <v>0.75625137835781919</v>
      </c>
    </row>
    <row r="140" spans="8:22" x14ac:dyDescent="0.3">
      <c r="H140" s="113"/>
      <c r="I140" s="111">
        <v>0.50762810253022606</v>
      </c>
      <c r="J140" s="77">
        <v>111105</v>
      </c>
      <c r="K140" s="100">
        <v>0.8150807597453037</v>
      </c>
      <c r="L140" s="97">
        <v>0.37059713125636112</v>
      </c>
      <c r="M140" s="101">
        <v>0.32534713425040906</v>
      </c>
      <c r="N140" s="100">
        <v>0.89858589479412887</v>
      </c>
      <c r="O140" s="101">
        <v>0.57485219838322121</v>
      </c>
      <c r="P140">
        <f t="shared" si="49"/>
        <v>0.63972982628992092</v>
      </c>
      <c r="Q140" s="100">
        <v>3.4796255130359848</v>
      </c>
      <c r="R140" s="101">
        <v>2.5390543601866122</v>
      </c>
      <c r="S140">
        <f t="shared" si="50"/>
        <v>0.72969184490525218</v>
      </c>
      <c r="T140" s="100">
        <v>1.9021837738526788</v>
      </c>
      <c r="U140" s="101">
        <v>3.0398230274516944</v>
      </c>
      <c r="V140">
        <f t="shared" si="51"/>
        <v>1.5980701072298833</v>
      </c>
    </row>
    <row r="141" spans="8:22" ht="15" thickBot="1" x14ac:dyDescent="0.35">
      <c r="I141" s="112">
        <v>0.53793669261472898</v>
      </c>
      <c r="J141" s="78">
        <v>123450</v>
      </c>
      <c r="K141" s="69">
        <v>3.5511114364856962</v>
      </c>
      <c r="L141" s="70">
        <v>3.2360030012112038</v>
      </c>
      <c r="M141" s="71">
        <v>2.3673664769349285</v>
      </c>
      <c r="N141" s="69">
        <v>2.6667941689618107</v>
      </c>
      <c r="O141" s="71">
        <v>3.5235494014104844</v>
      </c>
      <c r="P141">
        <f t="shared" si="49"/>
        <v>1.3212678512726053</v>
      </c>
      <c r="Q141" s="69">
        <v>0.59181947342834929</v>
      </c>
      <c r="R141" s="71">
        <v>2.314705358795603</v>
      </c>
      <c r="S141">
        <f t="shared" si="50"/>
        <v>3.9111679536105042</v>
      </c>
      <c r="T141" s="69">
        <v>2.4200260825085391</v>
      </c>
      <c r="U141" s="71">
        <v>1.3744316665601157</v>
      </c>
      <c r="V141">
        <f t="shared" si="51"/>
        <v>0.56794084844549031</v>
      </c>
    </row>
    <row r="145" spans="11:19" ht="15" thickBot="1" x14ac:dyDescent="0.35"/>
    <row r="146" spans="11:19" ht="15" thickBot="1" x14ac:dyDescent="0.35">
      <c r="L146" s="106" t="s">
        <v>108</v>
      </c>
      <c r="M146" s="106" t="s">
        <v>111</v>
      </c>
      <c r="O146" s="108" t="s">
        <v>113</v>
      </c>
      <c r="P146" s="109" t="s">
        <v>119</v>
      </c>
      <c r="Q146" s="110" t="s">
        <v>120</v>
      </c>
    </row>
    <row r="147" spans="11:19" ht="15" thickBot="1" x14ac:dyDescent="0.35">
      <c r="L147" s="108" t="s">
        <v>109</v>
      </c>
      <c r="M147" s="108" t="s">
        <v>112</v>
      </c>
      <c r="O147" s="108" t="s">
        <v>118</v>
      </c>
      <c r="P147" s="109" t="s">
        <v>121</v>
      </c>
      <c r="Q147" s="110" t="s">
        <v>122</v>
      </c>
    </row>
    <row r="148" spans="11:19" ht="15" thickBot="1" x14ac:dyDescent="0.35">
      <c r="L148" s="107" t="s">
        <v>110</v>
      </c>
      <c r="M148" s="107" t="s">
        <v>111</v>
      </c>
    </row>
    <row r="153" spans="11:19" ht="15" thickBot="1" x14ac:dyDescent="0.35"/>
    <row r="154" spans="11:19" x14ac:dyDescent="0.3">
      <c r="K154" s="102">
        <v>3.7015741310872814</v>
      </c>
      <c r="L154" s="103">
        <v>0.37083115765629815</v>
      </c>
      <c r="M154" s="104">
        <v>2.3662280335415846</v>
      </c>
      <c r="N154" s="100">
        <v>2.4693932221661439</v>
      </c>
      <c r="O154" s="101">
        <v>4.2323150644463636</v>
      </c>
      <c r="P154" s="100">
        <v>0.56653283755186434</v>
      </c>
      <c r="Q154" s="101">
        <v>3.9022623769436366</v>
      </c>
      <c r="R154" s="100">
        <v>2.4136252561621121</v>
      </c>
      <c r="S154" s="101">
        <v>4.0071833665052106</v>
      </c>
    </row>
    <row r="155" spans="11:19" x14ac:dyDescent="0.3">
      <c r="K155" s="100">
        <v>0.8150807597453037</v>
      </c>
      <c r="L155" s="97">
        <v>0.37059713125636112</v>
      </c>
      <c r="M155" s="101">
        <v>0.32534713425040906</v>
      </c>
      <c r="N155" s="100">
        <v>0.89858589479412887</v>
      </c>
      <c r="O155" s="101">
        <v>0.57485219838322121</v>
      </c>
      <c r="P155" s="100">
        <v>3.4796255130359848</v>
      </c>
      <c r="Q155" s="101">
        <v>2.5390543601866122</v>
      </c>
      <c r="R155" s="100">
        <v>1.9021837738526788</v>
      </c>
      <c r="S155" s="101">
        <v>3.0398230274516944</v>
      </c>
    </row>
  </sheetData>
  <phoneticPr fontId="3" type="noConversion"/>
  <conditionalFormatting sqref="B110:J119">
    <cfRule type="cellIs" dxfId="43" priority="3" operator="between">
      <formula>0.975</formula>
      <formula>1.025</formula>
    </cfRule>
    <cfRule type="cellIs" dxfId="42" priority="4" operator="lessThan">
      <formula>1</formula>
    </cfRule>
    <cfRule type="cellIs" dxfId="41" priority="5" operator="greaterThan">
      <formula>1</formula>
    </cfRule>
  </conditionalFormatting>
  <conditionalFormatting sqref="D93:F102">
    <cfRule type="cellIs" dxfId="40" priority="1" operator="equal">
      <formula>"Pass"</formula>
    </cfRule>
    <cfRule type="cellIs" dxfId="39" priority="2" operator="equal">
      <formula>"Fail"</formula>
    </cfRule>
  </conditionalFormatting>
  <conditionalFormatting sqref="K132:O141">
    <cfRule type="cellIs" dxfId="38" priority="52" operator="between">
      <formula>0.975</formula>
      <formula>1.025</formula>
    </cfRule>
    <cfRule type="cellIs" dxfId="37" priority="53" operator="lessThan">
      <formula>1</formula>
    </cfRule>
    <cfRule type="cellIs" dxfId="36" priority="54" operator="greaterThan">
      <formula>1</formula>
    </cfRule>
  </conditionalFormatting>
  <conditionalFormatting sqref="K154:S155">
    <cfRule type="cellIs" dxfId="35" priority="10" operator="between">
      <formula>0.975</formula>
      <formula>1.025</formula>
    </cfRule>
    <cfRule type="cellIs" dxfId="34" priority="11" operator="lessThan">
      <formula>1</formula>
    </cfRule>
    <cfRule type="cellIs" dxfId="33" priority="12" operator="greaterThan">
      <formula>1</formula>
    </cfRule>
  </conditionalFormatting>
  <conditionalFormatting sqref="M49:U58">
    <cfRule type="cellIs" dxfId="32" priority="93" operator="between">
      <formula>0.975</formula>
      <formula>1.025</formula>
    </cfRule>
    <cfRule type="cellIs" dxfId="31" priority="96" operator="lessThan">
      <formula>1</formula>
    </cfRule>
    <cfRule type="cellIs" dxfId="30" priority="97" operator="greaterThan">
      <formula>1</formula>
    </cfRule>
  </conditionalFormatting>
  <conditionalFormatting sqref="M67:U76">
    <cfRule type="cellIs" dxfId="29" priority="94" operator="lessThan">
      <formula>0</formula>
    </cfRule>
    <cfRule type="cellIs" dxfId="28" priority="95" operator="greaterThan">
      <formula>0</formula>
    </cfRule>
  </conditionalFormatting>
  <conditionalFormatting sqref="Q132:R141">
    <cfRule type="cellIs" dxfId="27" priority="61" operator="between">
      <formula>0.975</formula>
      <formula>1.025</formula>
    </cfRule>
    <cfRule type="cellIs" dxfId="26" priority="62" operator="lessThan">
      <formula>1</formula>
    </cfRule>
    <cfRule type="cellIs" dxfId="25" priority="63" operator="greaterThan">
      <formula>1</formula>
    </cfRule>
  </conditionalFormatting>
  <conditionalFormatting sqref="T94:U103">
    <cfRule type="cellIs" dxfId="24" priority="79" operator="between">
      <formula>0.975</formula>
      <formula>1.025</formula>
    </cfRule>
    <cfRule type="cellIs" dxfId="23" priority="80" operator="lessThan">
      <formula>1</formula>
    </cfRule>
    <cfRule type="cellIs" dxfId="22" priority="81" operator="greaterThan">
      <formula>1</formula>
    </cfRule>
  </conditionalFormatting>
  <conditionalFormatting sqref="T106:U115">
    <cfRule type="cellIs" dxfId="21" priority="76" operator="between">
      <formula>0.975</formula>
      <formula>1.025</formula>
    </cfRule>
    <cfRule type="cellIs" dxfId="20" priority="77" operator="lessThan">
      <formula>1</formula>
    </cfRule>
    <cfRule type="cellIs" dxfId="19" priority="78" operator="greaterThan">
      <formula>1</formula>
    </cfRule>
  </conditionalFormatting>
  <conditionalFormatting sqref="T118:U127">
    <cfRule type="cellIs" dxfId="18" priority="73" operator="between">
      <formula>0.975</formula>
      <formula>1.025</formula>
    </cfRule>
    <cfRule type="cellIs" dxfId="17" priority="74" operator="lessThan">
      <formula>1</formula>
    </cfRule>
    <cfRule type="cellIs" dxfId="16" priority="75" operator="greaterThan">
      <formula>1</formula>
    </cfRule>
  </conditionalFormatting>
  <conditionalFormatting sqref="T132:U141">
    <cfRule type="cellIs" dxfId="15" priority="55" operator="between">
      <formula>0.975</formula>
      <formula>1.025</formula>
    </cfRule>
    <cfRule type="cellIs" dxfId="14" priority="56" operator="lessThan">
      <formula>1</formula>
    </cfRule>
    <cfRule type="cellIs" dxfId="13" priority="57" operator="greaterThan">
      <formula>1</formula>
    </cfRule>
  </conditionalFormatting>
  <conditionalFormatting sqref="Y49:AA58">
    <cfRule type="cellIs" dxfId="12" priority="91" operator="equal">
      <formula>"Pass"</formula>
    </cfRule>
    <cfRule type="cellIs" dxfId="11" priority="92" operator="equal">
      <formula>"Fail"</formula>
    </cfRule>
  </conditionalFormatting>
  <pageMargins left="0.7" right="0.7" top="0.75" bottom="0.75" header="0.3" footer="0.3"/>
  <drawing r:id="rId1"/>
  <tableParts count="9">
    <tablePart r:id="rId2"/>
    <tablePart r:id="rId3"/>
    <tablePart r:id="rId4"/>
    <tablePart r:id="rId5"/>
    <tablePart r:id="rId6"/>
    <tablePart r:id="rId7"/>
    <tablePart r:id="rId8"/>
    <tablePart r:id="rId9"/>
    <tablePart r:id="rId10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9B394B-2F94-478A-9EA6-A5E96B91D71F}">
  <dimension ref="A1:N11"/>
  <sheetViews>
    <sheetView workbookViewId="0">
      <selection activeCell="P9" sqref="P9"/>
    </sheetView>
  </sheetViews>
  <sheetFormatPr defaultRowHeight="14.4" x14ac:dyDescent="0.3"/>
  <cols>
    <col min="1" max="1" width="22.6640625" customWidth="1"/>
    <col min="2" max="2" width="16.88671875" customWidth="1"/>
    <col min="3" max="3" width="17" customWidth="1"/>
    <col min="4" max="4" width="16.44140625" customWidth="1"/>
    <col min="5" max="5" width="20.44140625" customWidth="1"/>
    <col min="8" max="8" width="13.33203125" customWidth="1"/>
    <col min="9" max="9" width="16" customWidth="1"/>
    <col min="10" max="10" width="17.109375" customWidth="1"/>
    <col min="11" max="11" width="13.5546875" customWidth="1"/>
    <col min="12" max="12" width="9.109375" customWidth="1"/>
  </cols>
  <sheetData>
    <row r="1" spans="1:14" ht="15" thickBot="1" x14ac:dyDescent="0.35">
      <c r="A1" s="8" t="s">
        <v>18</v>
      </c>
      <c r="B1" s="8" t="s">
        <v>20</v>
      </c>
      <c r="C1" s="8" t="s">
        <v>9</v>
      </c>
      <c r="D1" s="8" t="s">
        <v>10</v>
      </c>
      <c r="E1" s="8" t="s">
        <v>11</v>
      </c>
      <c r="F1" s="8" t="s">
        <v>12</v>
      </c>
      <c r="G1" s="8" t="s">
        <v>13</v>
      </c>
      <c r="H1" s="8" t="s">
        <v>14</v>
      </c>
      <c r="I1" s="8" t="s">
        <v>15</v>
      </c>
      <c r="J1" s="8" t="s">
        <v>16</v>
      </c>
      <c r="K1" s="9" t="s">
        <v>17</v>
      </c>
      <c r="L1" s="117" t="s">
        <v>67</v>
      </c>
      <c r="M1" s="8" t="s">
        <v>68</v>
      </c>
      <c r="N1" s="9" t="s">
        <v>69</v>
      </c>
    </row>
    <row r="2" spans="1:14" x14ac:dyDescent="0.3">
      <c r="A2" s="32">
        <v>12345</v>
      </c>
      <c r="B2" s="79">
        <v>0.712406808509643</v>
      </c>
      <c r="C2" s="83">
        <v>249.944372693215</v>
      </c>
      <c r="D2" s="84">
        <v>282.06339872878402</v>
      </c>
      <c r="E2" s="84">
        <v>39.279403191200601</v>
      </c>
      <c r="F2" s="84">
        <v>1.21732841562099</v>
      </c>
      <c r="G2" s="84">
        <v>3.4961092224547201</v>
      </c>
      <c r="H2" s="84">
        <v>0.11255193689562699</v>
      </c>
      <c r="I2" s="84">
        <v>0.101294616086198</v>
      </c>
      <c r="J2" s="84">
        <v>0.116619630354845</v>
      </c>
      <c r="K2" s="85">
        <v>1.5778363102433</v>
      </c>
      <c r="L2" s="116" t="s">
        <v>70</v>
      </c>
      <c r="M2" s="116" t="s">
        <v>70</v>
      </c>
      <c r="N2" s="116"/>
    </row>
    <row r="3" spans="1:14" x14ac:dyDescent="0.3">
      <c r="A3" s="33">
        <v>24690</v>
      </c>
      <c r="B3" s="80">
        <v>0.48840316014479601</v>
      </c>
      <c r="C3" s="86">
        <v>418.25670506356499</v>
      </c>
      <c r="D3" s="24">
        <v>330.038709874456</v>
      </c>
      <c r="E3" s="24">
        <v>32.478360119580003</v>
      </c>
      <c r="F3" s="24">
        <v>0.51822808473398296</v>
      </c>
      <c r="G3" s="24">
        <v>5.9949632502605397</v>
      </c>
      <c r="H3" s="24">
        <v>0.44945725927744501</v>
      </c>
      <c r="I3" s="24">
        <v>0.100567648699738</v>
      </c>
      <c r="J3" s="24">
        <v>0.21097341589110599</v>
      </c>
      <c r="K3" s="87">
        <v>2.4971317426222299</v>
      </c>
      <c r="L3" s="54" t="s">
        <v>70</v>
      </c>
      <c r="M3" s="54"/>
      <c r="N3" s="54"/>
    </row>
    <row r="4" spans="1:14" x14ac:dyDescent="0.3">
      <c r="A4" s="32">
        <v>37035</v>
      </c>
      <c r="B4" s="81">
        <v>0.59089730657681105</v>
      </c>
      <c r="C4" s="88">
        <v>332.23429799566497</v>
      </c>
      <c r="D4" s="23">
        <v>285.69091361756898</v>
      </c>
      <c r="E4" s="23">
        <v>27.272250147894098</v>
      </c>
      <c r="F4" s="23">
        <v>1.8613438661077599</v>
      </c>
      <c r="G4" s="23">
        <v>4.2838259514911803</v>
      </c>
      <c r="H4" s="23">
        <v>0.10000825970358</v>
      </c>
      <c r="I4" s="23">
        <v>0.108603346406101</v>
      </c>
      <c r="J4" s="23">
        <v>1.33482998823821</v>
      </c>
      <c r="K4" s="89">
        <v>0.39592331101205303</v>
      </c>
      <c r="L4" s="116" t="s">
        <v>70</v>
      </c>
      <c r="M4" s="116"/>
      <c r="N4" s="116"/>
    </row>
    <row r="5" spans="1:14" x14ac:dyDescent="0.3">
      <c r="A5" s="33">
        <v>49380</v>
      </c>
      <c r="B5" s="80">
        <v>0.67887988874580396</v>
      </c>
      <c r="C5" s="86">
        <v>352.82756797919097</v>
      </c>
      <c r="D5" s="24">
        <v>375.80018132998202</v>
      </c>
      <c r="E5" s="24">
        <v>57.3813719412165</v>
      </c>
      <c r="F5" s="24">
        <v>5.9714044068960703</v>
      </c>
      <c r="G5" s="24">
        <v>5.3269490301681097</v>
      </c>
      <c r="H5" s="24">
        <v>0.20186132703462301</v>
      </c>
      <c r="I5" s="24">
        <v>1.8813684765391401</v>
      </c>
      <c r="J5" s="24">
        <v>0.94484692942459003</v>
      </c>
      <c r="K5" s="87">
        <v>1.6140854471050099</v>
      </c>
      <c r="L5" s="54"/>
      <c r="M5" s="54"/>
      <c r="N5" s="54"/>
    </row>
    <row r="6" spans="1:14" x14ac:dyDescent="0.3">
      <c r="A6" s="32">
        <v>61725</v>
      </c>
      <c r="B6" s="81">
        <v>0.51157923348573597</v>
      </c>
      <c r="C6" s="88">
        <v>328.66130914373701</v>
      </c>
      <c r="D6" s="23">
        <v>234.68146076384599</v>
      </c>
      <c r="E6" s="23">
        <v>48.640617215127101</v>
      </c>
      <c r="F6" s="23">
        <v>0.66329624206417603</v>
      </c>
      <c r="G6" s="23">
        <v>5.9885827680080004</v>
      </c>
      <c r="H6" s="23">
        <v>0.44988299110504398</v>
      </c>
      <c r="I6" s="23">
        <v>0.10080594271322001</v>
      </c>
      <c r="J6" s="23">
        <v>1.3672940648941001</v>
      </c>
      <c r="K6" s="89">
        <v>1.5598435050494699</v>
      </c>
      <c r="L6" s="116"/>
      <c r="M6" s="116"/>
      <c r="N6" s="116"/>
    </row>
    <row r="7" spans="1:14" x14ac:dyDescent="0.3">
      <c r="A7" s="33">
        <v>74070</v>
      </c>
      <c r="B7" s="80">
        <v>0.61136346201208103</v>
      </c>
      <c r="C7" s="86">
        <v>374.00585707519201</v>
      </c>
      <c r="D7" s="24">
        <v>229.52299874123099</v>
      </c>
      <c r="E7" s="24">
        <v>11.975744823062</v>
      </c>
      <c r="F7" s="24">
        <v>0.67413267245759501</v>
      </c>
      <c r="G7" s="24">
        <v>5.9999974178098601</v>
      </c>
      <c r="H7" s="24">
        <v>0.23655072878358799</v>
      </c>
      <c r="I7" s="24">
        <v>0.10022549690346</v>
      </c>
      <c r="J7" s="24">
        <v>0.26935782511441803</v>
      </c>
      <c r="K7" s="87">
        <v>1.4268128233335999</v>
      </c>
      <c r="L7" s="54"/>
      <c r="M7" s="54"/>
      <c r="N7" s="54"/>
    </row>
    <row r="8" spans="1:14" x14ac:dyDescent="0.3">
      <c r="A8" s="32">
        <v>86415</v>
      </c>
      <c r="B8" s="81">
        <v>0.55681124125554704</v>
      </c>
      <c r="C8" s="88">
        <v>303.94088440246401</v>
      </c>
      <c r="D8" s="23">
        <v>273.73714889572699</v>
      </c>
      <c r="E8" s="23">
        <v>23.339435792740499</v>
      </c>
      <c r="F8" s="23">
        <v>1.1653244055629799</v>
      </c>
      <c r="G8" s="23">
        <v>2.9105702589015099</v>
      </c>
      <c r="H8" s="23">
        <v>0.10224991157883501</v>
      </c>
      <c r="I8" s="23">
        <v>0.140456232076098</v>
      </c>
      <c r="J8" s="23">
        <v>1.4935508465976299</v>
      </c>
      <c r="K8" s="89">
        <v>0.39658030424374302</v>
      </c>
      <c r="L8" s="116"/>
      <c r="M8" s="116"/>
      <c r="N8" s="116"/>
    </row>
    <row r="9" spans="1:14" x14ac:dyDescent="0.3">
      <c r="A9" s="33">
        <v>98760</v>
      </c>
      <c r="B9" s="80">
        <v>0.65351070789674404</v>
      </c>
      <c r="C9" s="86">
        <v>292.50123590147302</v>
      </c>
      <c r="D9" s="24">
        <v>271.37147153366601</v>
      </c>
      <c r="E9" s="24">
        <v>22.107023707693202</v>
      </c>
      <c r="F9" s="24">
        <v>1.38102005624965</v>
      </c>
      <c r="G9" s="24">
        <v>4.3325973231689101</v>
      </c>
      <c r="H9" s="24">
        <v>0.32138518815565298</v>
      </c>
      <c r="I9" s="24">
        <v>0.198272602909567</v>
      </c>
      <c r="J9" s="24">
        <v>0.448120466117577</v>
      </c>
      <c r="K9" s="87">
        <v>0.80814293920319002</v>
      </c>
      <c r="L9" s="54"/>
      <c r="M9" s="54"/>
      <c r="N9" s="54"/>
    </row>
    <row r="10" spans="1:14" x14ac:dyDescent="0.3">
      <c r="A10" s="32">
        <v>111105</v>
      </c>
      <c r="B10" s="81">
        <v>0.60026349158933801</v>
      </c>
      <c r="C10" s="88">
        <v>327.949623199999</v>
      </c>
      <c r="D10" s="23">
        <v>283.96197152550002</v>
      </c>
      <c r="E10" s="23">
        <v>33.227388471928798</v>
      </c>
      <c r="F10" s="23">
        <v>1.0703813500850601</v>
      </c>
      <c r="G10" s="23">
        <v>5.5493637313373601</v>
      </c>
      <c r="H10" s="23">
        <v>0.230454066465624</v>
      </c>
      <c r="I10" s="23">
        <v>0.10680025663968799</v>
      </c>
      <c r="J10" s="23">
        <v>0.17786109165508901</v>
      </c>
      <c r="K10" s="89">
        <v>1.2350472397530501</v>
      </c>
      <c r="L10" s="116"/>
      <c r="M10" s="116"/>
      <c r="N10" s="116"/>
    </row>
    <row r="11" spans="1:14" ht="15" thickBot="1" x14ac:dyDescent="0.35">
      <c r="A11" s="33">
        <v>123450</v>
      </c>
      <c r="B11" s="82">
        <v>0.52796028692755004</v>
      </c>
      <c r="C11" s="90">
        <v>337.33985082356497</v>
      </c>
      <c r="D11" s="91">
        <v>258.23863001213198</v>
      </c>
      <c r="E11" s="91">
        <v>16.802151126164599</v>
      </c>
      <c r="F11" s="91">
        <v>1.50392832987264</v>
      </c>
      <c r="G11" s="91">
        <v>4.3842426260623402</v>
      </c>
      <c r="H11" s="91">
        <v>0.44156529106103798</v>
      </c>
      <c r="I11" s="91">
        <v>0.128946976627171</v>
      </c>
      <c r="J11" s="91">
        <v>8.1200539454317905E-2</v>
      </c>
      <c r="K11" s="92">
        <v>1.7917193119714701</v>
      </c>
      <c r="L11" s="54"/>
      <c r="M11" s="54"/>
      <c r="N11" s="54"/>
    </row>
  </sheetData>
  <conditionalFormatting sqref="L2:N11">
    <cfRule type="cellIs" dxfId="10" priority="1" operator="equal">
      <formula>"Pass"</formula>
    </cfRule>
    <cfRule type="cellIs" dxfId="9" priority="2" operator="equal">
      <formula>"Fail"</formula>
    </cfRule>
  </conditionalFormatting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FCF11C-DDE7-4784-B0AC-FF45FB494109}">
  <dimension ref="A1:O11"/>
  <sheetViews>
    <sheetView workbookViewId="0">
      <selection activeCell="G36" sqref="G36"/>
    </sheetView>
  </sheetViews>
  <sheetFormatPr defaultRowHeight="14.4" x14ac:dyDescent="0.3"/>
  <cols>
    <col min="3" max="3" width="22.6640625" customWidth="1"/>
    <col min="4" max="4" width="16.88671875" customWidth="1"/>
    <col min="5" max="5" width="17" customWidth="1"/>
    <col min="6" max="6" width="16.44140625" customWidth="1"/>
    <col min="7" max="7" width="20.44140625" customWidth="1"/>
    <col min="10" max="10" width="13.33203125" customWidth="1"/>
    <col min="11" max="11" width="16" customWidth="1"/>
    <col min="12" max="12" width="17.109375" customWidth="1"/>
    <col min="13" max="13" width="13.5546875" customWidth="1"/>
  </cols>
  <sheetData>
    <row r="1" spans="1:15" ht="15" thickBot="1" x14ac:dyDescent="0.35">
      <c r="A1" s="8" t="s">
        <v>107</v>
      </c>
      <c r="B1" s="8" t="s">
        <v>125</v>
      </c>
      <c r="C1" s="8" t="s">
        <v>9</v>
      </c>
      <c r="D1" s="8" t="s">
        <v>10</v>
      </c>
      <c r="E1" s="8" t="s">
        <v>11</v>
      </c>
      <c r="F1" s="8" t="s">
        <v>12</v>
      </c>
      <c r="G1" s="8" t="s">
        <v>13</v>
      </c>
      <c r="H1" s="8" t="s">
        <v>14</v>
      </c>
      <c r="I1" s="8" t="s">
        <v>15</v>
      </c>
      <c r="J1" s="8" t="s">
        <v>16</v>
      </c>
      <c r="K1" s="9" t="s">
        <v>17</v>
      </c>
      <c r="L1" s="8" t="s">
        <v>67</v>
      </c>
      <c r="M1" s="8" t="s">
        <v>68</v>
      </c>
      <c r="N1" s="8" t="s">
        <v>69</v>
      </c>
      <c r="O1" s="8" t="s">
        <v>126</v>
      </c>
    </row>
    <row r="2" spans="1:15" x14ac:dyDescent="0.3">
      <c r="A2" s="52">
        <v>12345</v>
      </c>
      <c r="B2" s="79">
        <v>0.712406808509643</v>
      </c>
      <c r="C2" s="83">
        <v>249.944372693215</v>
      </c>
      <c r="D2" s="84">
        <v>282.06339872878402</v>
      </c>
      <c r="E2" s="84">
        <v>39.279403191200601</v>
      </c>
      <c r="F2" s="84">
        <v>1.21732841562099</v>
      </c>
      <c r="G2" s="84">
        <v>3.4961092224547201</v>
      </c>
      <c r="H2" s="84">
        <v>0.11255193689562699</v>
      </c>
      <c r="I2" s="84">
        <v>0.101294616086198</v>
      </c>
      <c r="J2" s="84">
        <v>0.116619630354845</v>
      </c>
      <c r="K2" s="85">
        <v>1.5778363102433</v>
      </c>
      <c r="L2" s="93">
        <v>1</v>
      </c>
      <c r="M2" s="93">
        <v>1</v>
      </c>
      <c r="N2" s="93">
        <v>1</v>
      </c>
      <c r="O2" s="93">
        <v>0.60391527521822497</v>
      </c>
    </row>
    <row r="3" spans="1:15" x14ac:dyDescent="0.3">
      <c r="A3" s="53">
        <v>24690</v>
      </c>
      <c r="B3" s="80">
        <v>0.48840316014479601</v>
      </c>
      <c r="C3" s="86">
        <v>418.25670506356499</v>
      </c>
      <c r="D3" s="24">
        <v>330.038709874456</v>
      </c>
      <c r="E3" s="24">
        <v>32.478360119580003</v>
      </c>
      <c r="F3" s="24">
        <v>0.51822808473398296</v>
      </c>
      <c r="G3" s="24">
        <v>5.9949632502605397</v>
      </c>
      <c r="H3" s="24">
        <v>0.44945725927744501</v>
      </c>
      <c r="I3" s="24">
        <v>0.100567648699738</v>
      </c>
      <c r="J3" s="24">
        <v>0.21097341589110599</v>
      </c>
      <c r="K3" s="87">
        <v>2.4971317426222299</v>
      </c>
      <c r="L3" s="24">
        <v>0</v>
      </c>
      <c r="M3" s="24">
        <v>0</v>
      </c>
      <c r="N3" s="24">
        <v>0</v>
      </c>
      <c r="O3" s="24">
        <v>0.48624727790761502</v>
      </c>
    </row>
    <row r="4" spans="1:15" x14ac:dyDescent="0.3">
      <c r="A4" s="52">
        <v>37035</v>
      </c>
      <c r="B4" s="81">
        <v>0.59089730657681105</v>
      </c>
      <c r="C4" s="88">
        <v>332.23429799566497</v>
      </c>
      <c r="D4" s="23">
        <v>285.69091361756898</v>
      </c>
      <c r="E4" s="23">
        <v>27.272250147894098</v>
      </c>
      <c r="F4" s="23">
        <v>1.8613438661077599</v>
      </c>
      <c r="G4" s="23">
        <v>4.2838259514911803</v>
      </c>
      <c r="H4" s="23">
        <v>0.10000825970358</v>
      </c>
      <c r="I4" s="23">
        <v>0.108603346406101</v>
      </c>
      <c r="J4" s="23">
        <v>1.33482998823821</v>
      </c>
      <c r="K4" s="89">
        <v>0.39592331101205303</v>
      </c>
      <c r="L4" s="24">
        <v>1</v>
      </c>
      <c r="M4" s="24">
        <v>1</v>
      </c>
      <c r="N4" s="24">
        <v>0</v>
      </c>
      <c r="O4" s="24">
        <v>0.66176179774459298</v>
      </c>
    </row>
    <row r="5" spans="1:15" x14ac:dyDescent="0.3">
      <c r="A5" s="53">
        <v>49380</v>
      </c>
      <c r="B5" s="80">
        <v>0.67887988874580396</v>
      </c>
      <c r="C5" s="86">
        <v>352.82756797919097</v>
      </c>
      <c r="D5" s="24">
        <v>375.80018132998202</v>
      </c>
      <c r="E5" s="24">
        <v>57.3813719412165</v>
      </c>
      <c r="F5" s="24">
        <v>5.9714044068960703</v>
      </c>
      <c r="G5" s="24">
        <v>5.3269490301681097</v>
      </c>
      <c r="H5" s="24">
        <v>0.20186132703462301</v>
      </c>
      <c r="I5" s="24">
        <v>1.8813684765391401</v>
      </c>
      <c r="J5" s="24">
        <v>0.94484692942459003</v>
      </c>
      <c r="K5" s="87">
        <v>1.6140854471050099</v>
      </c>
      <c r="L5" s="24">
        <v>0</v>
      </c>
      <c r="M5" s="24">
        <v>0</v>
      </c>
      <c r="N5" s="24">
        <v>0</v>
      </c>
      <c r="O5" s="24">
        <v>0.52520044160502999</v>
      </c>
    </row>
    <row r="6" spans="1:15" x14ac:dyDescent="0.3">
      <c r="A6" s="52">
        <v>61725</v>
      </c>
      <c r="B6" s="81">
        <v>0.51157923348573597</v>
      </c>
      <c r="C6" s="88">
        <v>328.66130914373701</v>
      </c>
      <c r="D6" s="23">
        <v>234.68146076384599</v>
      </c>
      <c r="E6" s="23">
        <v>48.640617215127101</v>
      </c>
      <c r="F6" s="23">
        <v>0.66329624206417603</v>
      </c>
      <c r="G6" s="23">
        <v>5.9885827680080004</v>
      </c>
      <c r="H6" s="23">
        <v>0.44988299110504398</v>
      </c>
      <c r="I6" s="23">
        <v>0.10080594271322001</v>
      </c>
      <c r="J6" s="23">
        <v>1.3672940648941001</v>
      </c>
      <c r="K6" s="89">
        <v>1.5598435050494699</v>
      </c>
      <c r="L6" s="24">
        <v>1</v>
      </c>
      <c r="M6" s="24">
        <v>1</v>
      </c>
      <c r="N6" s="24">
        <v>0</v>
      </c>
      <c r="O6" s="24">
        <v>0.65013584412540804</v>
      </c>
    </row>
    <row r="7" spans="1:15" x14ac:dyDescent="0.3">
      <c r="A7" s="53">
        <v>74070</v>
      </c>
      <c r="B7" s="80">
        <v>0.61136346201208103</v>
      </c>
      <c r="C7" s="86">
        <v>374.00585707519201</v>
      </c>
      <c r="D7" s="24">
        <v>229.52299874123099</v>
      </c>
      <c r="E7" s="24">
        <v>11.975744823062</v>
      </c>
      <c r="F7" s="24">
        <v>0.67413267245759501</v>
      </c>
      <c r="G7" s="24">
        <v>5.9999974178098601</v>
      </c>
      <c r="H7" s="24">
        <v>0.23655072878358799</v>
      </c>
      <c r="I7" s="24">
        <v>0.10022549690346</v>
      </c>
      <c r="J7" s="24">
        <v>0.26935782511441803</v>
      </c>
      <c r="K7" s="87">
        <v>1.4268128233335999</v>
      </c>
      <c r="L7" s="24">
        <v>0</v>
      </c>
      <c r="M7" s="24">
        <v>0</v>
      </c>
      <c r="N7" s="24">
        <v>0</v>
      </c>
      <c r="O7" s="24">
        <v>0.54313186736951702</v>
      </c>
    </row>
    <row r="8" spans="1:15" x14ac:dyDescent="0.3">
      <c r="A8" s="52">
        <v>86415</v>
      </c>
      <c r="B8" s="81">
        <v>0.55681124125554704</v>
      </c>
      <c r="C8" s="88">
        <v>303.94088440246401</v>
      </c>
      <c r="D8" s="23">
        <v>273.73714889572699</v>
      </c>
      <c r="E8" s="23">
        <v>23.339435792740499</v>
      </c>
      <c r="F8" s="23">
        <v>1.1653244055629799</v>
      </c>
      <c r="G8" s="23">
        <v>2.9105702589015099</v>
      </c>
      <c r="H8" s="23">
        <v>0.10224991157883501</v>
      </c>
      <c r="I8" s="23">
        <v>0.140456232076098</v>
      </c>
      <c r="J8" s="23">
        <v>1.4935508465976299</v>
      </c>
      <c r="K8" s="89">
        <v>0.39658030424374302</v>
      </c>
      <c r="L8" s="24">
        <v>1</v>
      </c>
      <c r="M8" s="24">
        <v>1</v>
      </c>
      <c r="N8" s="24">
        <v>0</v>
      </c>
      <c r="O8" s="24">
        <v>0.689942458078181</v>
      </c>
    </row>
    <row r="9" spans="1:15" x14ac:dyDescent="0.3">
      <c r="A9" s="53">
        <v>98760</v>
      </c>
      <c r="B9" s="80">
        <v>0.65351070789674404</v>
      </c>
      <c r="C9" s="86">
        <v>292.50123590147302</v>
      </c>
      <c r="D9" s="24">
        <v>271.37147153366601</v>
      </c>
      <c r="E9" s="24">
        <v>22.107023707693202</v>
      </c>
      <c r="F9" s="24">
        <v>1.38102005624965</v>
      </c>
      <c r="G9" s="24">
        <v>4.3325973231689101</v>
      </c>
      <c r="H9" s="24">
        <v>0.32138518815565298</v>
      </c>
      <c r="I9" s="24">
        <v>0.198272602909567</v>
      </c>
      <c r="J9" s="24">
        <v>0.448120466117577</v>
      </c>
      <c r="K9" s="87">
        <v>0.80814293920319002</v>
      </c>
      <c r="L9" s="24">
        <v>1</v>
      </c>
      <c r="M9" s="24">
        <v>0</v>
      </c>
      <c r="N9" s="24">
        <v>0</v>
      </c>
      <c r="O9" s="24">
        <v>0.59117161347732095</v>
      </c>
    </row>
    <row r="10" spans="1:15" x14ac:dyDescent="0.3">
      <c r="A10" s="52">
        <v>111105</v>
      </c>
      <c r="B10" s="81">
        <v>0.60026349158933801</v>
      </c>
      <c r="C10" s="88">
        <v>327.949623199999</v>
      </c>
      <c r="D10" s="23">
        <v>283.96197152550002</v>
      </c>
      <c r="E10" s="23">
        <v>33.227388471928798</v>
      </c>
      <c r="F10" s="23">
        <v>1.0703813500850601</v>
      </c>
      <c r="G10" s="23">
        <v>5.5493637313373601</v>
      </c>
      <c r="H10" s="23">
        <v>0.230454066465624</v>
      </c>
      <c r="I10" s="23">
        <v>0.10680025663968799</v>
      </c>
      <c r="J10" s="23">
        <v>0.17786109165508901</v>
      </c>
      <c r="K10" s="89">
        <v>1.2350472397530501</v>
      </c>
      <c r="L10" s="24">
        <v>1</v>
      </c>
      <c r="M10" s="24">
        <v>1</v>
      </c>
      <c r="N10" s="24">
        <v>1</v>
      </c>
      <c r="O10" s="24">
        <v>0.50762810253022606</v>
      </c>
    </row>
    <row r="11" spans="1:15" ht="15" thickBot="1" x14ac:dyDescent="0.35">
      <c r="A11" s="53">
        <v>123450</v>
      </c>
      <c r="B11" s="82">
        <v>0.52796028692755004</v>
      </c>
      <c r="C11" s="90">
        <v>337.33985082356497</v>
      </c>
      <c r="D11" s="91">
        <v>258.23863001213198</v>
      </c>
      <c r="E11" s="91">
        <v>16.802151126164599</v>
      </c>
      <c r="F11" s="91">
        <v>1.50392832987264</v>
      </c>
      <c r="G11" s="91">
        <v>4.3842426260623402</v>
      </c>
      <c r="H11" s="91">
        <v>0.44156529106103798</v>
      </c>
      <c r="I11" s="91">
        <v>0.128946976627171</v>
      </c>
      <c r="J11" s="91">
        <v>8.1200539454317905E-2</v>
      </c>
      <c r="K11" s="92">
        <v>1.7917193119714701</v>
      </c>
      <c r="L11" s="26">
        <v>1</v>
      </c>
      <c r="M11" s="26">
        <v>1</v>
      </c>
      <c r="N11" s="26">
        <v>0</v>
      </c>
      <c r="O11" s="26">
        <v>0.53793669261472898</v>
      </c>
    </row>
  </sheetData>
  <phoneticPr fontId="3" type="noConversion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4838A9-EA36-440F-BC03-31688569CF0D}">
  <dimension ref="A1:D41"/>
  <sheetViews>
    <sheetView workbookViewId="0">
      <selection activeCell="H32" sqref="H32"/>
    </sheetView>
  </sheetViews>
  <sheetFormatPr defaultRowHeight="14.4" x14ac:dyDescent="0.3"/>
  <cols>
    <col min="1" max="1" width="12.88671875" customWidth="1"/>
    <col min="2" max="2" width="21.6640625" customWidth="1"/>
    <col min="3" max="3" width="18" customWidth="1"/>
    <col min="4" max="4" width="12.5546875" customWidth="1"/>
  </cols>
  <sheetData>
    <row r="1" spans="1:4" x14ac:dyDescent="0.3">
      <c r="A1" t="s">
        <v>72</v>
      </c>
      <c r="B1" t="s">
        <v>73</v>
      </c>
      <c r="C1" t="s">
        <v>74</v>
      </c>
      <c r="D1" t="s">
        <v>34</v>
      </c>
    </row>
    <row r="2" spans="1:4" x14ac:dyDescent="0.3">
      <c r="A2" t="s">
        <v>75</v>
      </c>
      <c r="B2">
        <v>-0.45587349888373802</v>
      </c>
      <c r="C2">
        <v>3.7859999999999999E-3</v>
      </c>
      <c r="D2">
        <v>-0.45965949888373803</v>
      </c>
    </row>
    <row r="3" spans="1:4" x14ac:dyDescent="0.3">
      <c r="A3" t="s">
        <v>76</v>
      </c>
      <c r="B3">
        <v>0.23751173419891999</v>
      </c>
      <c r="C3">
        <v>4.3747000000000001E-2</v>
      </c>
      <c r="D3">
        <v>0.19376473419892001</v>
      </c>
    </row>
    <row r="4" spans="1:4" x14ac:dyDescent="0.3">
      <c r="A4" t="s">
        <v>77</v>
      </c>
      <c r="B4">
        <v>-0.187145849046184</v>
      </c>
      <c r="C4">
        <v>9.6906000000000006E-2</v>
      </c>
      <c r="D4">
        <v>-0.28405184904618402</v>
      </c>
    </row>
    <row r="5" spans="1:4" x14ac:dyDescent="0.3">
      <c r="A5">
        <v>1</v>
      </c>
      <c r="B5">
        <v>0.127103220231434</v>
      </c>
      <c r="C5">
        <v>5.4903E-2</v>
      </c>
      <c r="D5">
        <v>7.2200220231434506E-2</v>
      </c>
    </row>
    <row r="6" spans="1:4" x14ac:dyDescent="0.3">
      <c r="A6">
        <v>3</v>
      </c>
      <c r="B6">
        <v>-4.9742789968516297E-2</v>
      </c>
      <c r="C6">
        <v>4.6280000000000002E-2</v>
      </c>
      <c r="D6">
        <v>-9.6022789968516306E-2</v>
      </c>
    </row>
    <row r="7" spans="1:4" x14ac:dyDescent="0.3">
      <c r="A7" t="s">
        <v>78</v>
      </c>
      <c r="B7">
        <v>-0.29644709660431301</v>
      </c>
      <c r="C7">
        <v>0.175566</v>
      </c>
      <c r="D7">
        <v>-0.47201309660431301</v>
      </c>
    </row>
    <row r="8" spans="1:4" x14ac:dyDescent="0.3">
      <c r="A8" t="s">
        <v>79</v>
      </c>
      <c r="B8">
        <v>2.8506044505691398E-3</v>
      </c>
      <c r="C8">
        <v>0.13925399999999999</v>
      </c>
      <c r="D8">
        <v>-0.13640339554943001</v>
      </c>
    </row>
    <row r="9" spans="1:4" x14ac:dyDescent="0.3">
      <c r="A9" t="s">
        <v>80</v>
      </c>
      <c r="B9">
        <v>0.26277257320987502</v>
      </c>
      <c r="C9">
        <v>0.19956699999999999</v>
      </c>
      <c r="D9">
        <v>6.3205573209875798E-2</v>
      </c>
    </row>
    <row r="10" spans="1:4" x14ac:dyDescent="0.3">
      <c r="A10" t="s">
        <v>81</v>
      </c>
      <c r="B10">
        <v>8.9380653149551695E-2</v>
      </c>
      <c r="C10">
        <v>3.1259000000000002E-2</v>
      </c>
      <c r="D10">
        <v>5.8121653149551603E-2</v>
      </c>
    </row>
    <row r="11" spans="1:4" x14ac:dyDescent="0.3">
      <c r="A11" t="s">
        <v>82</v>
      </c>
      <c r="B11">
        <v>0.61698101936368199</v>
      </c>
      <c r="C11">
        <v>0.175673</v>
      </c>
      <c r="D11">
        <v>0.44130801936368202</v>
      </c>
    </row>
    <row r="12" spans="1:4" x14ac:dyDescent="0.3">
      <c r="A12" t="s">
        <v>83</v>
      </c>
      <c r="B12">
        <v>0.223082558912964</v>
      </c>
      <c r="C12">
        <v>-1.5774E-2</v>
      </c>
      <c r="D12">
        <v>0.23885655891296401</v>
      </c>
    </row>
    <row r="13" spans="1:4" x14ac:dyDescent="0.3">
      <c r="A13">
        <v>5</v>
      </c>
      <c r="B13">
        <v>-4.8505198244722103E-2</v>
      </c>
      <c r="C13">
        <v>-2.6273999999999999E-2</v>
      </c>
      <c r="D13">
        <v>-2.2231198244722101E-2</v>
      </c>
    </row>
    <row r="14" spans="1:4" x14ac:dyDescent="0.3">
      <c r="A14">
        <v>2</v>
      </c>
      <c r="B14">
        <v>8.9082421743525694E-2</v>
      </c>
      <c r="C14">
        <v>8.8932999999999998E-2</v>
      </c>
      <c r="D14">
        <v>1.49421743525793E-4</v>
      </c>
    </row>
    <row r="15" spans="1:4" x14ac:dyDescent="0.3">
      <c r="A15" t="s">
        <v>84</v>
      </c>
      <c r="B15">
        <v>0.14129205378642301</v>
      </c>
      <c r="C15">
        <v>0.16705999999999999</v>
      </c>
      <c r="D15">
        <v>-2.5767946213576299E-2</v>
      </c>
    </row>
    <row r="16" spans="1:4" x14ac:dyDescent="0.3">
      <c r="A16" t="s">
        <v>85</v>
      </c>
      <c r="B16">
        <v>-0.18483618421280901</v>
      </c>
      <c r="C16">
        <v>2.3885E-2</v>
      </c>
      <c r="D16">
        <v>-0.208721184212809</v>
      </c>
    </row>
    <row r="17" spans="1:4" x14ac:dyDescent="0.3">
      <c r="A17" t="s">
        <v>86</v>
      </c>
      <c r="B17">
        <v>0.140608701000493</v>
      </c>
      <c r="C17">
        <v>-4.7580000000000001E-3</v>
      </c>
      <c r="D17">
        <v>0.14536670100049301</v>
      </c>
    </row>
    <row r="18" spans="1:4" x14ac:dyDescent="0.3">
      <c r="A18" t="s">
        <v>87</v>
      </c>
      <c r="B18">
        <v>1.03944873931981E-2</v>
      </c>
      <c r="C18">
        <v>3.1260000000000003E-2</v>
      </c>
      <c r="D18">
        <v>-2.0865512606801799E-2</v>
      </c>
    </row>
    <row r="19" spans="1:4" x14ac:dyDescent="0.3">
      <c r="A19">
        <v>10</v>
      </c>
      <c r="B19">
        <v>1.2795216426735501</v>
      </c>
      <c r="C19">
        <v>0.313056</v>
      </c>
      <c r="D19">
        <v>0.96646564267355795</v>
      </c>
    </row>
    <row r="20" spans="1:4" x14ac:dyDescent="0.3">
      <c r="A20" t="s">
        <v>88</v>
      </c>
      <c r="B20">
        <v>8.9059255709656907E-2</v>
      </c>
      <c r="C20">
        <v>9.4149999999999998E-2</v>
      </c>
      <c r="D20">
        <v>-5.090744290343E-3</v>
      </c>
    </row>
    <row r="21" spans="1:4" x14ac:dyDescent="0.3">
      <c r="A21" t="s">
        <v>89</v>
      </c>
      <c r="B21">
        <v>-1.6762686314884302E-2</v>
      </c>
      <c r="C21">
        <v>1.6372000000000001E-2</v>
      </c>
      <c r="D21">
        <v>-3.3134686314884303E-2</v>
      </c>
    </row>
    <row r="22" spans="1:4" x14ac:dyDescent="0.3">
      <c r="A22" t="s">
        <v>90</v>
      </c>
      <c r="B22">
        <v>1.1099412435174001</v>
      </c>
      <c r="C22">
        <v>0.33707300000000001</v>
      </c>
      <c r="D22">
        <v>0.77286824351740502</v>
      </c>
    </row>
    <row r="23" spans="1:4" x14ac:dyDescent="0.3">
      <c r="A23" t="s">
        <v>91</v>
      </c>
      <c r="B23">
        <v>0.38203096187592001</v>
      </c>
      <c r="C23">
        <v>0.2712</v>
      </c>
      <c r="D23">
        <v>0.11083096187591999</v>
      </c>
    </row>
    <row r="24" spans="1:4" x14ac:dyDescent="0.3">
      <c r="A24" t="s">
        <v>92</v>
      </c>
      <c r="B24">
        <v>-0.323065679317867</v>
      </c>
      <c r="C24">
        <v>3.2065000000000003E-2</v>
      </c>
      <c r="D24">
        <v>-0.35513067931786702</v>
      </c>
    </row>
    <row r="25" spans="1:4" x14ac:dyDescent="0.3">
      <c r="A25" t="s">
        <v>93</v>
      </c>
      <c r="B25">
        <v>0.66498543267650501</v>
      </c>
      <c r="C25">
        <v>0.24563599999999999</v>
      </c>
      <c r="D25">
        <v>0.41934943267650499</v>
      </c>
    </row>
    <row r="26" spans="1:4" x14ac:dyDescent="0.3">
      <c r="A26" t="s">
        <v>94</v>
      </c>
      <c r="B26">
        <v>0.35562064460676102</v>
      </c>
      <c r="C26">
        <v>8.1313999999999997E-2</v>
      </c>
      <c r="D26">
        <v>0.27430664460676102</v>
      </c>
    </row>
    <row r="27" spans="1:4" x14ac:dyDescent="0.3">
      <c r="A27" t="s">
        <v>95</v>
      </c>
      <c r="B27">
        <v>-0.315264016499614</v>
      </c>
      <c r="C27">
        <v>-8.2865999999999995E-2</v>
      </c>
      <c r="D27">
        <v>-0.232398016499614</v>
      </c>
    </row>
    <row r="28" spans="1:4" x14ac:dyDescent="0.3">
      <c r="A28">
        <v>25</v>
      </c>
      <c r="B28">
        <v>0.29757741381699299</v>
      </c>
      <c r="C28">
        <v>-0.168438</v>
      </c>
      <c r="D28">
        <v>0.46601541381699302</v>
      </c>
    </row>
    <row r="29" spans="1:4" x14ac:dyDescent="0.3">
      <c r="A29" t="s">
        <v>96</v>
      </c>
      <c r="B29">
        <v>0.184667210187723</v>
      </c>
      <c r="C29">
        <v>6.3566999999999999E-2</v>
      </c>
      <c r="D29">
        <v>0.121100210187723</v>
      </c>
    </row>
    <row r="30" spans="1:4" x14ac:dyDescent="0.3">
      <c r="A30">
        <v>32</v>
      </c>
      <c r="B30">
        <v>2</v>
      </c>
      <c r="C30">
        <v>0.81220199999999998</v>
      </c>
      <c r="D30">
        <v>1.1877979999999999</v>
      </c>
    </row>
    <row r="31" spans="1:4" x14ac:dyDescent="0.3">
      <c r="A31" t="s">
        <v>97</v>
      </c>
      <c r="B31">
        <v>-0.22000947470347401</v>
      </c>
      <c r="C31">
        <v>2.8622000000000002E-2</v>
      </c>
      <c r="D31">
        <v>-0.24863147470347399</v>
      </c>
    </row>
    <row r="32" spans="1:4" x14ac:dyDescent="0.3">
      <c r="A32">
        <v>9</v>
      </c>
      <c r="B32">
        <v>1.1209643384219801</v>
      </c>
      <c r="C32">
        <v>0.35854399999999997</v>
      </c>
      <c r="D32">
        <v>0.76242033842198298</v>
      </c>
    </row>
    <row r="33" spans="1:4" x14ac:dyDescent="0.3">
      <c r="A33" t="s">
        <v>98</v>
      </c>
      <c r="B33">
        <v>0.49743065969255401</v>
      </c>
      <c r="C33">
        <v>0.22115000000000001</v>
      </c>
      <c r="D33">
        <v>0.276280659692554</v>
      </c>
    </row>
    <row r="34" spans="1:4" x14ac:dyDescent="0.3">
      <c r="A34" t="s">
        <v>99</v>
      </c>
      <c r="B34">
        <v>1.0272264220284899</v>
      </c>
      <c r="C34">
        <v>0.223581</v>
      </c>
      <c r="D34">
        <v>0.80364542202849298</v>
      </c>
    </row>
    <row r="35" spans="1:4" x14ac:dyDescent="0.3">
      <c r="A35" t="s">
        <v>100</v>
      </c>
      <c r="B35">
        <v>-0.426051549541342</v>
      </c>
      <c r="C35">
        <v>0.11131199999999999</v>
      </c>
      <c r="D35">
        <v>-0.53736354954134202</v>
      </c>
    </row>
    <row r="36" spans="1:4" x14ac:dyDescent="0.3">
      <c r="A36" t="s">
        <v>101</v>
      </c>
      <c r="B36">
        <v>-0.32435437906952302</v>
      </c>
      <c r="C36">
        <v>-2.4718E-2</v>
      </c>
      <c r="D36">
        <v>-0.29963637906952301</v>
      </c>
    </row>
    <row r="37" spans="1:4" x14ac:dyDescent="0.3">
      <c r="A37" t="s">
        <v>102</v>
      </c>
      <c r="B37">
        <v>1.2042281727899899</v>
      </c>
      <c r="C37">
        <v>0.25606000000000001</v>
      </c>
      <c r="D37">
        <v>0.94816817278999399</v>
      </c>
    </row>
    <row r="38" spans="1:4" x14ac:dyDescent="0.3">
      <c r="A38" t="s">
        <v>103</v>
      </c>
      <c r="B38">
        <v>8.9382066231793705E-2</v>
      </c>
      <c r="C38">
        <v>4.3750000000000004E-3</v>
      </c>
      <c r="D38">
        <v>8.5007066231793701E-2</v>
      </c>
    </row>
    <row r="39" spans="1:4" x14ac:dyDescent="0.3">
      <c r="A39" t="s">
        <v>104</v>
      </c>
      <c r="B39">
        <v>0.116360867535512</v>
      </c>
      <c r="C39">
        <v>-5.7009999999999998E-2</v>
      </c>
      <c r="D39">
        <v>0.17337086753551201</v>
      </c>
    </row>
    <row r="40" spans="1:4" x14ac:dyDescent="0.3">
      <c r="A40" t="s">
        <v>105</v>
      </c>
      <c r="B40">
        <v>2</v>
      </c>
      <c r="C40">
        <v>1.0811409999999999</v>
      </c>
      <c r="D40">
        <v>0.91885899999999998</v>
      </c>
    </row>
    <row r="41" spans="1:4" x14ac:dyDescent="0.3">
      <c r="A41" t="s">
        <v>106</v>
      </c>
      <c r="B41">
        <v>0.39267082423871902</v>
      </c>
      <c r="C41">
        <v>0.17669499999999999</v>
      </c>
      <c r="D41">
        <v>0.215975824238719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D838E4-5041-4172-BF4F-6C64A37B593C}">
  <dimension ref="C4:V31"/>
  <sheetViews>
    <sheetView workbookViewId="0">
      <selection activeCell="L41" sqref="L41"/>
    </sheetView>
  </sheetViews>
  <sheetFormatPr defaultRowHeight="14.4" x14ac:dyDescent="0.3"/>
  <cols>
    <col min="3" max="3" width="22.6640625" customWidth="1"/>
    <col min="4" max="4" width="16.88671875" customWidth="1"/>
    <col min="5" max="5" width="17" customWidth="1"/>
    <col min="6" max="6" width="16.44140625" customWidth="1"/>
    <col min="7" max="7" width="20.44140625" customWidth="1"/>
    <col min="10" max="10" width="13.33203125" customWidth="1"/>
    <col min="11" max="11" width="16" customWidth="1"/>
    <col min="12" max="12" width="17.109375" customWidth="1"/>
    <col min="13" max="13" width="13.5546875" customWidth="1"/>
  </cols>
  <sheetData>
    <row r="4" spans="3:20" ht="15" thickBot="1" x14ac:dyDescent="0.35">
      <c r="C4" s="8" t="s">
        <v>18</v>
      </c>
      <c r="D4" s="8" t="s">
        <v>20</v>
      </c>
      <c r="E4" s="8" t="s">
        <v>9</v>
      </c>
      <c r="F4" s="8" t="s">
        <v>10</v>
      </c>
      <c r="G4" s="8" t="s">
        <v>11</v>
      </c>
      <c r="H4" s="8" t="s">
        <v>12</v>
      </c>
      <c r="I4" s="8" t="s">
        <v>13</v>
      </c>
      <c r="J4" s="8" t="s">
        <v>14</v>
      </c>
      <c r="K4" s="8" t="s">
        <v>15</v>
      </c>
      <c r="L4" s="8" t="s">
        <v>16</v>
      </c>
      <c r="M4" s="9" t="s">
        <v>17</v>
      </c>
      <c r="O4">
        <v>1</v>
      </c>
      <c r="P4">
        <v>2</v>
      </c>
      <c r="Q4">
        <v>3</v>
      </c>
      <c r="R4">
        <v>12</v>
      </c>
      <c r="S4">
        <v>13</v>
      </c>
      <c r="T4">
        <v>123</v>
      </c>
    </row>
    <row r="5" spans="3:20" x14ac:dyDescent="0.3">
      <c r="C5" s="52">
        <v>12345</v>
      </c>
      <c r="D5" s="79">
        <v>0.712406808509643</v>
      </c>
      <c r="E5" s="83">
        <v>249.944372693215</v>
      </c>
      <c r="F5" s="84">
        <v>282.06339872878402</v>
      </c>
      <c r="G5" s="84">
        <v>39.279403191200601</v>
      </c>
      <c r="H5" s="84">
        <v>1.21732841562099</v>
      </c>
      <c r="I5" s="84">
        <v>3.4961092224547201</v>
      </c>
      <c r="J5" s="84">
        <v>0.11255193689562699</v>
      </c>
      <c r="K5" s="84">
        <v>0.101294616086198</v>
      </c>
      <c r="L5" s="84">
        <v>0.116619630354845</v>
      </c>
      <c r="M5" s="85">
        <v>1.5778363102433</v>
      </c>
      <c r="O5">
        <v>1</v>
      </c>
      <c r="P5">
        <v>1</v>
      </c>
      <c r="Q5">
        <v>1</v>
      </c>
      <c r="R5">
        <f>O5+P5</f>
        <v>2</v>
      </c>
      <c r="S5">
        <f>P5+Q5</f>
        <v>2</v>
      </c>
      <c r="T5">
        <f t="shared" ref="T5:T14" si="0">SUM(O5:Q5)</f>
        <v>3</v>
      </c>
    </row>
    <row r="6" spans="3:20" x14ac:dyDescent="0.3">
      <c r="C6" s="53">
        <v>24690</v>
      </c>
      <c r="D6" s="80">
        <v>0.48840316014479601</v>
      </c>
      <c r="E6" s="86">
        <v>418.25670506356499</v>
      </c>
      <c r="F6" s="24">
        <v>330.038709874456</v>
      </c>
      <c r="G6" s="24">
        <v>32.478360119580003</v>
      </c>
      <c r="H6" s="24">
        <v>0.51822808473398296</v>
      </c>
      <c r="I6" s="24">
        <v>5.9949632502605397</v>
      </c>
      <c r="J6" s="24">
        <v>0.44945725927744501</v>
      </c>
      <c r="K6" s="24">
        <v>0.100567648699738</v>
      </c>
      <c r="L6" s="24">
        <v>0.21097341589110599</v>
      </c>
      <c r="M6" s="87">
        <v>2.4971317426222299</v>
      </c>
      <c r="O6">
        <v>0</v>
      </c>
      <c r="P6">
        <v>0</v>
      </c>
      <c r="Q6">
        <v>0</v>
      </c>
      <c r="R6">
        <f t="shared" ref="R6:R14" si="1">O6+P6</f>
        <v>0</v>
      </c>
      <c r="S6">
        <f t="shared" ref="S6:S14" si="2">P6+Q6</f>
        <v>0</v>
      </c>
      <c r="T6">
        <f t="shared" si="0"/>
        <v>0</v>
      </c>
    </row>
    <row r="7" spans="3:20" x14ac:dyDescent="0.3">
      <c r="C7" s="52">
        <v>37035</v>
      </c>
      <c r="D7" s="81">
        <v>0.59089730657681105</v>
      </c>
      <c r="E7" s="88">
        <v>332.23429799566497</v>
      </c>
      <c r="F7" s="23">
        <v>285.69091361756898</v>
      </c>
      <c r="G7" s="23">
        <v>27.272250147894098</v>
      </c>
      <c r="H7" s="23">
        <v>1.8613438661077599</v>
      </c>
      <c r="I7" s="23">
        <v>4.2838259514911803</v>
      </c>
      <c r="J7" s="23">
        <v>0.10000825970358</v>
      </c>
      <c r="K7" s="23">
        <v>0.108603346406101</v>
      </c>
      <c r="L7" s="23">
        <v>1.33482998823821</v>
      </c>
      <c r="M7" s="89">
        <v>0.39592331101205303</v>
      </c>
      <c r="O7">
        <v>1</v>
      </c>
      <c r="P7">
        <v>1</v>
      </c>
      <c r="Q7">
        <v>0</v>
      </c>
      <c r="R7">
        <f t="shared" si="1"/>
        <v>2</v>
      </c>
      <c r="S7">
        <f t="shared" si="2"/>
        <v>1</v>
      </c>
      <c r="T7">
        <f t="shared" si="0"/>
        <v>2</v>
      </c>
    </row>
    <row r="8" spans="3:20" x14ac:dyDescent="0.3">
      <c r="C8" s="53">
        <v>49380</v>
      </c>
      <c r="D8" s="80">
        <v>0.67887988874580396</v>
      </c>
      <c r="E8" s="86">
        <v>352.82756797919097</v>
      </c>
      <c r="F8" s="24">
        <v>375.80018132998202</v>
      </c>
      <c r="G8" s="24">
        <v>57.3813719412165</v>
      </c>
      <c r="H8" s="24">
        <v>5.9714044068960703</v>
      </c>
      <c r="I8" s="24">
        <v>5.3269490301681097</v>
      </c>
      <c r="J8" s="24">
        <v>0.20186132703462301</v>
      </c>
      <c r="K8" s="24">
        <v>1.8813684765391401</v>
      </c>
      <c r="L8" s="24">
        <v>0.94484692942459003</v>
      </c>
      <c r="M8" s="87">
        <v>1.6140854471050099</v>
      </c>
      <c r="O8">
        <v>0</v>
      </c>
      <c r="P8">
        <v>0</v>
      </c>
      <c r="Q8">
        <v>0</v>
      </c>
      <c r="R8">
        <f t="shared" si="1"/>
        <v>0</v>
      </c>
      <c r="S8">
        <f t="shared" si="2"/>
        <v>0</v>
      </c>
      <c r="T8">
        <f t="shared" si="0"/>
        <v>0</v>
      </c>
    </row>
    <row r="9" spans="3:20" x14ac:dyDescent="0.3">
      <c r="C9" s="52">
        <v>61725</v>
      </c>
      <c r="D9" s="81">
        <v>0.51157923348573597</v>
      </c>
      <c r="E9" s="88">
        <v>328.66130914373701</v>
      </c>
      <c r="F9" s="23">
        <v>234.68146076384599</v>
      </c>
      <c r="G9" s="23">
        <v>48.640617215127101</v>
      </c>
      <c r="H9" s="23">
        <v>0.66329624206417603</v>
      </c>
      <c r="I9" s="23">
        <v>5.9885827680080004</v>
      </c>
      <c r="J9" s="23">
        <v>0.44988299110504398</v>
      </c>
      <c r="K9" s="23">
        <v>0.10080594271322001</v>
      </c>
      <c r="L9" s="23">
        <v>1.3672940648941001</v>
      </c>
      <c r="M9" s="89">
        <v>1.5598435050494699</v>
      </c>
      <c r="O9">
        <v>1</v>
      </c>
      <c r="P9">
        <v>1</v>
      </c>
      <c r="Q9">
        <v>0</v>
      </c>
      <c r="R9">
        <f t="shared" si="1"/>
        <v>2</v>
      </c>
      <c r="S9">
        <f t="shared" si="2"/>
        <v>1</v>
      </c>
      <c r="T9">
        <f t="shared" si="0"/>
        <v>2</v>
      </c>
    </row>
    <row r="10" spans="3:20" x14ac:dyDescent="0.3">
      <c r="C10" s="53">
        <v>74070</v>
      </c>
      <c r="D10" s="80">
        <v>0.61136346201208103</v>
      </c>
      <c r="E10" s="86">
        <v>374.00585707519201</v>
      </c>
      <c r="F10" s="24">
        <v>229.52299874123099</v>
      </c>
      <c r="G10" s="24">
        <v>11.975744823062</v>
      </c>
      <c r="H10" s="24">
        <v>0.67413267245759501</v>
      </c>
      <c r="I10" s="24">
        <v>5.9999974178098601</v>
      </c>
      <c r="J10" s="24">
        <v>0.23655072878358799</v>
      </c>
      <c r="K10" s="24">
        <v>0.10022549690346</v>
      </c>
      <c r="L10" s="24">
        <v>0.26935782511441803</v>
      </c>
      <c r="M10" s="87">
        <v>1.4268128233335999</v>
      </c>
      <c r="O10">
        <v>0</v>
      </c>
      <c r="P10">
        <v>0</v>
      </c>
      <c r="Q10">
        <v>0</v>
      </c>
      <c r="R10">
        <f t="shared" si="1"/>
        <v>0</v>
      </c>
      <c r="S10">
        <f t="shared" si="2"/>
        <v>0</v>
      </c>
      <c r="T10">
        <f t="shared" si="0"/>
        <v>0</v>
      </c>
    </row>
    <row r="11" spans="3:20" x14ac:dyDescent="0.3">
      <c r="C11" s="52">
        <v>86415</v>
      </c>
      <c r="D11" s="81">
        <v>0.55681124125554704</v>
      </c>
      <c r="E11" s="88">
        <v>303.94088440246401</v>
      </c>
      <c r="F11" s="23">
        <v>273.73714889572699</v>
      </c>
      <c r="G11" s="23">
        <v>23.339435792740499</v>
      </c>
      <c r="H11" s="23">
        <v>1.1653244055629799</v>
      </c>
      <c r="I11" s="23">
        <v>2.9105702589015099</v>
      </c>
      <c r="J11" s="23">
        <v>0.10224991157883501</v>
      </c>
      <c r="K11" s="23">
        <v>0.140456232076098</v>
      </c>
      <c r="L11" s="23">
        <v>1.4935508465976299</v>
      </c>
      <c r="M11" s="89">
        <v>0.39658030424374302</v>
      </c>
      <c r="O11">
        <v>1</v>
      </c>
      <c r="P11">
        <v>1</v>
      </c>
      <c r="Q11">
        <v>0</v>
      </c>
      <c r="R11">
        <f t="shared" si="1"/>
        <v>2</v>
      </c>
      <c r="S11">
        <f t="shared" si="2"/>
        <v>1</v>
      </c>
      <c r="T11">
        <f t="shared" si="0"/>
        <v>2</v>
      </c>
    </row>
    <row r="12" spans="3:20" x14ac:dyDescent="0.3">
      <c r="C12" s="53">
        <v>98760</v>
      </c>
      <c r="D12" s="80">
        <v>0.65351070789674404</v>
      </c>
      <c r="E12" s="86">
        <v>292.50123590147302</v>
      </c>
      <c r="F12" s="24">
        <v>271.37147153366601</v>
      </c>
      <c r="G12" s="24">
        <v>22.107023707693202</v>
      </c>
      <c r="H12" s="24">
        <v>1.38102005624965</v>
      </c>
      <c r="I12" s="24">
        <v>4.3325973231689101</v>
      </c>
      <c r="J12" s="24">
        <v>0.32138518815565298</v>
      </c>
      <c r="K12" s="24">
        <v>0.198272602909567</v>
      </c>
      <c r="L12" s="24">
        <v>0.448120466117577</v>
      </c>
      <c r="M12" s="87">
        <v>0.80814293920319002</v>
      </c>
      <c r="O12">
        <v>1</v>
      </c>
      <c r="P12">
        <v>0</v>
      </c>
      <c r="Q12">
        <v>0</v>
      </c>
      <c r="R12">
        <f t="shared" si="1"/>
        <v>1</v>
      </c>
      <c r="S12">
        <f t="shared" si="2"/>
        <v>0</v>
      </c>
      <c r="T12">
        <f t="shared" si="0"/>
        <v>1</v>
      </c>
    </row>
    <row r="13" spans="3:20" x14ac:dyDescent="0.3">
      <c r="C13" s="52">
        <v>111105</v>
      </c>
      <c r="D13" s="81">
        <v>0.60026349158933801</v>
      </c>
      <c r="E13" s="88">
        <v>327.949623199999</v>
      </c>
      <c r="F13" s="23">
        <v>283.96197152550002</v>
      </c>
      <c r="G13" s="23">
        <v>33.227388471928798</v>
      </c>
      <c r="H13" s="23">
        <v>1.0703813500850601</v>
      </c>
      <c r="I13" s="23">
        <v>5.5493637313373601</v>
      </c>
      <c r="J13" s="23">
        <v>0.230454066465624</v>
      </c>
      <c r="K13" s="23">
        <v>0.10680025663968799</v>
      </c>
      <c r="L13" s="23">
        <v>0.17786109165508901</v>
      </c>
      <c r="M13" s="89">
        <v>1.2350472397530501</v>
      </c>
      <c r="O13">
        <v>1</v>
      </c>
      <c r="P13">
        <v>1</v>
      </c>
      <c r="Q13">
        <v>1</v>
      </c>
      <c r="R13">
        <f t="shared" si="1"/>
        <v>2</v>
      </c>
      <c r="S13">
        <f t="shared" si="2"/>
        <v>2</v>
      </c>
      <c r="T13">
        <f t="shared" si="0"/>
        <v>3</v>
      </c>
    </row>
    <row r="14" spans="3:20" ht="15" thickBot="1" x14ac:dyDescent="0.35">
      <c r="C14" s="53">
        <v>123450</v>
      </c>
      <c r="D14" s="82">
        <v>0.52796028692755004</v>
      </c>
      <c r="E14" s="90">
        <v>337.33985082356497</v>
      </c>
      <c r="F14" s="91">
        <v>258.23863001213198</v>
      </c>
      <c r="G14" s="91">
        <v>16.802151126164599</v>
      </c>
      <c r="H14" s="91">
        <v>1.50392832987264</v>
      </c>
      <c r="I14" s="91">
        <v>4.3842426260623402</v>
      </c>
      <c r="J14" s="91">
        <v>0.44156529106103798</v>
      </c>
      <c r="K14" s="91">
        <v>0.128946976627171</v>
      </c>
      <c r="L14" s="91">
        <v>8.1200539454317905E-2</v>
      </c>
      <c r="M14" s="92">
        <v>1.7917193119714701</v>
      </c>
      <c r="O14">
        <v>1</v>
      </c>
      <c r="P14">
        <v>1</v>
      </c>
      <c r="Q14">
        <v>0</v>
      </c>
      <c r="R14">
        <f t="shared" si="1"/>
        <v>2</v>
      </c>
      <c r="S14">
        <f t="shared" si="2"/>
        <v>1</v>
      </c>
      <c r="T14">
        <f t="shared" si="0"/>
        <v>2</v>
      </c>
    </row>
    <row r="16" spans="3:20" ht="15" thickBot="1" x14ac:dyDescent="0.35"/>
    <row r="17" spans="3:22" x14ac:dyDescent="0.3">
      <c r="C17" s="2" t="s">
        <v>36</v>
      </c>
      <c r="D17" s="12">
        <f>AVERAGE(Table3[best_pearson_r])</f>
        <v>0.593207558714405</v>
      </c>
      <c r="E17" s="12">
        <f>AVERAGE(Table3[I_background_e])</f>
        <v>331.76617042780663</v>
      </c>
      <c r="F17" s="12">
        <f>AVERAGE(Table3[I_background_i])</f>
        <v>282.51068850228933</v>
      </c>
      <c r="G17" s="12">
        <f>AVERAGE(Table3[I_background_dend])</f>
        <v>31.250374653660735</v>
      </c>
      <c r="H17" s="12">
        <f>AVERAGE(Table3[mu_ee])</f>
        <v>1.6026387829650908</v>
      </c>
      <c r="I17" s="12">
        <f>AVERAGE(Table3[mu_ie])</f>
        <v>4.8267201579662524</v>
      </c>
      <c r="J17" s="12">
        <f>AVERAGE(Table3[e_grad_min])</f>
        <v>0.26459669600610575</v>
      </c>
      <c r="K17" s="12">
        <f>AVERAGE(Table3[balloon_kappa])</f>
        <v>0.29673415956003812</v>
      </c>
      <c r="L17" s="12">
        <f>AVERAGE(Table3[balloon_gamma])</f>
        <v>0.64446547977418822</v>
      </c>
      <c r="M17" s="12">
        <f>AVERAGE(Table3[balloon_tau])</f>
        <v>1.3303122934537115</v>
      </c>
      <c r="O17">
        <f>CORREL($D$5:$D$14,O5:O14)</f>
        <v>3.0493728569702346E-3</v>
      </c>
      <c r="P17">
        <f t="shared" ref="P17:T17" si="3">CORREL($D$5:$D$14,P5:P14)</f>
        <v>-0.17335784029891846</v>
      </c>
      <c r="Q17">
        <f t="shared" si="3"/>
        <v>0.45184144269452314</v>
      </c>
      <c r="R17">
        <f t="shared" si="3"/>
        <v>-9.2811391260808951E-2</v>
      </c>
      <c r="S17">
        <f t="shared" si="3"/>
        <v>0.12803006374638529</v>
      </c>
      <c r="T17">
        <f t="shared" si="3"/>
        <v>8.69439801662652E-2</v>
      </c>
    </row>
    <row r="18" spans="3:22" x14ac:dyDescent="0.3">
      <c r="C18" s="3" t="s">
        <v>37</v>
      </c>
      <c r="D18" s="12">
        <f>_xlfn.STDEV.P(Table3[best_pearson_r])</f>
        <v>6.985591113403529E-2</v>
      </c>
      <c r="E18" s="12">
        <f>_xlfn.STDEV.P(Table3[I_background_e])</f>
        <v>43.329742255920529</v>
      </c>
      <c r="F18" s="12">
        <f>_xlfn.STDEV.P(Table3[I_background_i])</f>
        <v>41.060665700231496</v>
      </c>
      <c r="G18" s="12">
        <f>_xlfn.STDEV.P(Table3[I_background_dend])</f>
        <v>13.406726668954178</v>
      </c>
      <c r="H18" s="12">
        <f>_xlfn.STDEV.P(Table3[mu_ee])</f>
        <v>1.5084873382969142</v>
      </c>
      <c r="I18" s="12">
        <f>_xlfn.STDEV.P(Table3[mu_ie])</f>
        <v>1.0507412903951312</v>
      </c>
      <c r="J18" s="12">
        <f>_xlfn.STDEV.P(Table3[e_grad_min])</f>
        <v>0.13619791407416829</v>
      </c>
      <c r="K18" s="12">
        <f>_xlfn.STDEV.P(Table3[balloon_kappa])</f>
        <v>0.52900713153886858</v>
      </c>
      <c r="L18" s="12">
        <f>_xlfn.STDEV.P(Table3[balloon_gamma])</f>
        <v>0.54690401979118364</v>
      </c>
      <c r="M18" s="12">
        <f>_xlfn.STDEV.P(Table3[balloon_tau])</f>
        <v>0.61683310529164304</v>
      </c>
    </row>
    <row r="19" spans="3:22" ht="15" thickBot="1" x14ac:dyDescent="0.35">
      <c r="C19" s="4" t="s">
        <v>60</v>
      </c>
      <c r="D19" s="12">
        <f t="shared" ref="D19" si="4">D18/D17</f>
        <v>0.117759644340046</v>
      </c>
      <c r="E19" s="12">
        <f t="shared" ref="E19:M19" si="5">E18/E17</f>
        <v>0.13060325650456642</v>
      </c>
      <c r="F19" s="12">
        <f t="shared" si="5"/>
        <v>0.1453419901311053</v>
      </c>
      <c r="G19" s="12">
        <f t="shared" si="5"/>
        <v>0.42901011003987072</v>
      </c>
      <c r="H19" s="12">
        <f t="shared" si="5"/>
        <v>0.94125223620634957</v>
      </c>
      <c r="I19" s="12">
        <f t="shared" si="5"/>
        <v>0.21769260616050776</v>
      </c>
      <c r="J19" s="12">
        <f t="shared" si="5"/>
        <v>0.51473777310894853</v>
      </c>
      <c r="K19" s="12">
        <f t="shared" si="5"/>
        <v>1.7827645200108306</v>
      </c>
      <c r="L19" s="12">
        <f t="shared" si="5"/>
        <v>0.84861646892679377</v>
      </c>
      <c r="M19" s="12">
        <f t="shared" si="5"/>
        <v>0.46367541540959673</v>
      </c>
    </row>
    <row r="21" spans="3:22" x14ac:dyDescent="0.3">
      <c r="P21">
        <f>Q17^2</f>
        <v>0.20416068933626805</v>
      </c>
      <c r="T21" t="s">
        <v>67</v>
      </c>
      <c r="U21" t="s">
        <v>68</v>
      </c>
      <c r="V21" t="s">
        <v>69</v>
      </c>
    </row>
    <row r="22" spans="3:22" x14ac:dyDescent="0.3">
      <c r="T22" s="54" t="s">
        <v>70</v>
      </c>
      <c r="U22" s="54" t="s">
        <v>70</v>
      </c>
      <c r="V22" s="54" t="s">
        <v>70</v>
      </c>
    </row>
    <row r="23" spans="3:22" x14ac:dyDescent="0.3">
      <c r="T23" s="54" t="s">
        <v>71</v>
      </c>
      <c r="U23" s="54" t="s">
        <v>71</v>
      </c>
      <c r="V23" s="54" t="s">
        <v>71</v>
      </c>
    </row>
    <row r="24" spans="3:22" x14ac:dyDescent="0.3">
      <c r="T24" s="54" t="s">
        <v>70</v>
      </c>
      <c r="U24" s="54" t="s">
        <v>70</v>
      </c>
      <c r="V24" s="54" t="s">
        <v>71</v>
      </c>
    </row>
    <row r="25" spans="3:22" x14ac:dyDescent="0.3">
      <c r="T25" s="54" t="s">
        <v>71</v>
      </c>
      <c r="U25" s="54" t="s">
        <v>71</v>
      </c>
      <c r="V25" s="54" t="s">
        <v>71</v>
      </c>
    </row>
    <row r="26" spans="3:22" x14ac:dyDescent="0.3">
      <c r="T26" s="54" t="s">
        <v>70</v>
      </c>
      <c r="U26" s="54" t="s">
        <v>70</v>
      </c>
      <c r="V26" s="54" t="s">
        <v>71</v>
      </c>
    </row>
    <row r="27" spans="3:22" x14ac:dyDescent="0.3">
      <c r="T27" s="54" t="s">
        <v>71</v>
      </c>
      <c r="U27" s="54" t="s">
        <v>71</v>
      </c>
      <c r="V27" s="54" t="s">
        <v>71</v>
      </c>
    </row>
    <row r="28" spans="3:22" x14ac:dyDescent="0.3">
      <c r="T28" s="54" t="s">
        <v>70</v>
      </c>
      <c r="U28" s="54" t="s">
        <v>70</v>
      </c>
      <c r="V28" s="54" t="s">
        <v>71</v>
      </c>
    </row>
    <row r="29" spans="3:22" x14ac:dyDescent="0.3">
      <c r="T29" s="54" t="s">
        <v>70</v>
      </c>
      <c r="U29" s="54" t="s">
        <v>71</v>
      </c>
      <c r="V29" s="54" t="s">
        <v>71</v>
      </c>
    </row>
    <row r="30" spans="3:22" x14ac:dyDescent="0.3">
      <c r="T30" s="54" t="s">
        <v>70</v>
      </c>
      <c r="U30" s="54" t="s">
        <v>70</v>
      </c>
      <c r="V30" s="54" t="s">
        <v>70</v>
      </c>
    </row>
    <row r="31" spans="3:22" x14ac:dyDescent="0.3">
      <c r="T31" s="54" t="s">
        <v>70</v>
      </c>
      <c r="U31" s="54" t="s">
        <v>70</v>
      </c>
      <c r="V31" s="54" t="s">
        <v>71</v>
      </c>
    </row>
  </sheetData>
  <conditionalFormatting sqref="T22:V31">
    <cfRule type="cellIs" dxfId="8" priority="1" operator="equal">
      <formula>"Pass"</formula>
    </cfRule>
    <cfRule type="cellIs" dxfId="7" priority="2" operator="equal">
      <formula>"Fail"</formula>
    </cfRule>
  </conditionalFormatting>
  <pageMargins left="0.7" right="0.7" top="0.75" bottom="0.75" header="0.3" footer="0.3"/>
  <tableParts count="2">
    <tablePart r:id="rId1"/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E8849C-2D02-46F4-ACC4-400EB6662519}">
  <sheetPr codeName="Sheet1"/>
  <dimension ref="A1:Y87"/>
  <sheetViews>
    <sheetView topLeftCell="A34" zoomScaleNormal="100" workbookViewId="0">
      <selection activeCell="N15" sqref="N15"/>
    </sheetView>
  </sheetViews>
  <sheetFormatPr defaultRowHeight="14.4" x14ac:dyDescent="0.3"/>
  <cols>
    <col min="1" max="1" width="29.33203125" customWidth="1"/>
    <col min="2" max="2" width="16.88671875" customWidth="1"/>
    <col min="3" max="3" width="25.5546875" customWidth="1"/>
    <col min="4" max="4" width="11.5546875" customWidth="1"/>
    <col min="5" max="5" width="14.44140625" customWidth="1"/>
    <col min="6" max="6" width="22.6640625" customWidth="1"/>
    <col min="7" max="7" width="16.88671875" customWidth="1"/>
    <col min="8" max="8" width="25.5546875" customWidth="1"/>
    <col min="9" max="10" width="14.5546875" customWidth="1"/>
    <col min="11" max="11" width="16" customWidth="1"/>
    <col min="12" max="12" width="8.44140625" customWidth="1"/>
    <col min="13" max="13" width="21.109375" customWidth="1"/>
    <col min="14" max="14" width="28" customWidth="1"/>
    <col min="15" max="15" width="20.44140625" customWidth="1"/>
    <col min="16" max="16" width="10.88671875" customWidth="1"/>
    <col min="17" max="17" width="14" customWidth="1"/>
    <col min="18" max="18" width="13.5546875" customWidth="1"/>
    <col min="19" max="19" width="16" customWidth="1"/>
    <col min="20" max="20" width="17.109375" customWidth="1"/>
    <col min="21" max="21" width="13.6640625" customWidth="1"/>
    <col min="22" max="22" width="13.33203125" customWidth="1"/>
    <col min="23" max="23" width="16" customWidth="1"/>
    <col min="25" max="25" width="27.88671875" customWidth="1"/>
  </cols>
  <sheetData>
    <row r="1" spans="1:23" x14ac:dyDescent="0.3">
      <c r="A1" t="s">
        <v>18</v>
      </c>
      <c r="B1" t="s">
        <v>20</v>
      </c>
      <c r="C1" t="s">
        <v>19</v>
      </c>
      <c r="D1" t="s">
        <v>0</v>
      </c>
      <c r="E1" t="s">
        <v>1</v>
      </c>
      <c r="F1" t="s">
        <v>2</v>
      </c>
      <c r="G1" t="s">
        <v>3</v>
      </c>
      <c r="H1" t="s">
        <v>4</v>
      </c>
      <c r="I1" t="s">
        <v>5</v>
      </c>
      <c r="J1" t="s">
        <v>6</v>
      </c>
      <c r="K1" t="s">
        <v>7</v>
      </c>
      <c r="L1" t="s">
        <v>8</v>
      </c>
      <c r="M1" t="s">
        <v>9</v>
      </c>
      <c r="N1" t="s">
        <v>10</v>
      </c>
      <c r="O1" t="s">
        <v>11</v>
      </c>
      <c r="P1" t="s">
        <v>12</v>
      </c>
      <c r="Q1" t="s">
        <v>13</v>
      </c>
      <c r="R1" t="s">
        <v>14</v>
      </c>
      <c r="S1" t="s">
        <v>15</v>
      </c>
      <c r="T1" t="s">
        <v>16</v>
      </c>
      <c r="U1" t="s">
        <v>17</v>
      </c>
    </row>
    <row r="2" spans="1:23" x14ac:dyDescent="0.3">
      <c r="A2" t="s">
        <v>21</v>
      </c>
      <c r="B2" s="10">
        <v>0.712406808509643</v>
      </c>
      <c r="C2" s="10">
        <v>0.52304667728695398</v>
      </c>
      <c r="D2" s="10">
        <v>0.69340773447425397</v>
      </c>
      <c r="E2" s="10">
        <v>1.1541217117804401</v>
      </c>
      <c r="F2" s="10">
        <v>1.0002788626868001E-2</v>
      </c>
      <c r="G2" s="10">
        <v>317.46365455468998</v>
      </c>
      <c r="H2" s="10">
        <v>149.908973743926</v>
      </c>
      <c r="I2" s="10">
        <v>799.99940949574795</v>
      </c>
      <c r="J2" s="10">
        <v>-1.6886028927443799E-4</v>
      </c>
      <c r="K2" s="10">
        <v>-163.51282790285501</v>
      </c>
      <c r="L2" s="10">
        <v>-260.814816952417</v>
      </c>
      <c r="M2" s="10">
        <v>249.944372693215</v>
      </c>
      <c r="N2" s="10">
        <v>282.06339872878402</v>
      </c>
      <c r="O2" s="10">
        <v>39.279403191200601</v>
      </c>
      <c r="P2" s="10">
        <v>1.21732841562099</v>
      </c>
      <c r="Q2" s="10">
        <v>3.4961092224547201</v>
      </c>
      <c r="R2" s="10">
        <v>0.11255193689562699</v>
      </c>
      <c r="S2" s="10">
        <v>0.101294616086198</v>
      </c>
      <c r="T2" s="10">
        <v>0.116619630354845</v>
      </c>
      <c r="U2" s="10">
        <v>1.5778363102433</v>
      </c>
    </row>
    <row r="3" spans="1:23" x14ac:dyDescent="0.3">
      <c r="A3" t="s">
        <v>22</v>
      </c>
      <c r="B3" s="10">
        <v>0.48840316014479601</v>
      </c>
      <c r="C3" s="10">
        <v>0.495336580378823</v>
      </c>
      <c r="D3" s="10">
        <v>0.899999835774972</v>
      </c>
      <c r="E3" s="10">
        <v>1.2230907775042099</v>
      </c>
      <c r="F3" s="10">
        <v>0.26861606580594299</v>
      </c>
      <c r="G3" s="10">
        <v>499.95010750964502</v>
      </c>
      <c r="H3" s="10">
        <v>190.96348697302</v>
      </c>
      <c r="I3" s="10">
        <v>34.613449478593601</v>
      </c>
      <c r="J3" s="10">
        <v>-158.05576059818199</v>
      </c>
      <c r="K3" s="10">
        <v>-153.60602592281001</v>
      </c>
      <c r="L3" s="10">
        <v>-221.04769286954399</v>
      </c>
      <c r="M3" s="10">
        <v>418.25670506356499</v>
      </c>
      <c r="N3" s="10">
        <v>330.038709874456</v>
      </c>
      <c r="O3" s="10">
        <v>32.478360119580003</v>
      </c>
      <c r="P3" s="10">
        <v>0.51822808473398296</v>
      </c>
      <c r="Q3" s="10">
        <v>5.9949632502605397</v>
      </c>
      <c r="R3" s="10">
        <v>0.44945725927744501</v>
      </c>
      <c r="S3" s="10">
        <v>0.100567648699738</v>
      </c>
      <c r="T3" s="10">
        <v>0.21097341589110599</v>
      </c>
      <c r="U3" s="10">
        <v>2.4971317426222299</v>
      </c>
      <c r="W3" t="s">
        <v>39</v>
      </c>
    </row>
    <row r="4" spans="1:23" x14ac:dyDescent="0.3">
      <c r="A4" t="s">
        <v>23</v>
      </c>
      <c r="B4" s="10">
        <v>0.59089730657681105</v>
      </c>
      <c r="C4" s="10">
        <v>0.58339645238371796</v>
      </c>
      <c r="D4" s="10">
        <v>3.3229031894337797E-2</v>
      </c>
      <c r="E4" s="10">
        <v>23.952010376470401</v>
      </c>
      <c r="F4" s="10">
        <v>0.54754900300381404</v>
      </c>
      <c r="G4" s="10">
        <v>277.25677446956797</v>
      </c>
      <c r="H4" s="10">
        <v>66.403590987990199</v>
      </c>
      <c r="I4" s="10">
        <v>141.88298139688001</v>
      </c>
      <c r="J4" s="10">
        <v>-76.313235320617693</v>
      </c>
      <c r="K4" s="10">
        <v>-63.030499995774299</v>
      </c>
      <c r="L4" s="10">
        <v>-125.121278511163</v>
      </c>
      <c r="M4" s="10">
        <v>332.23429799566497</v>
      </c>
      <c r="N4" s="10">
        <v>285.69091361756898</v>
      </c>
      <c r="O4" s="10">
        <v>27.272250147894098</v>
      </c>
      <c r="P4" s="10">
        <v>1.8613438661077599</v>
      </c>
      <c r="Q4" s="10">
        <v>4.2838259514911803</v>
      </c>
      <c r="R4" s="10">
        <v>0.10000825970358</v>
      </c>
      <c r="S4" s="10">
        <v>0.108603346406101</v>
      </c>
      <c r="T4" s="10">
        <v>1.33482998823821</v>
      </c>
      <c r="U4" s="10">
        <v>0.39592331101205303</v>
      </c>
      <c r="W4">
        <f>PEARSON(B2:B11,C2:C11)</f>
        <v>0.15529912764928527</v>
      </c>
    </row>
    <row r="5" spans="1:23" x14ac:dyDescent="0.3">
      <c r="A5" t="s">
        <v>24</v>
      </c>
      <c r="B5" s="10">
        <v>0.67887988874580396</v>
      </c>
      <c r="C5" s="10">
        <v>0.39443555162616101</v>
      </c>
      <c r="D5" s="10">
        <v>8.5018842313639195E-2</v>
      </c>
      <c r="E5" s="10">
        <v>25.806089189863901</v>
      </c>
      <c r="F5" s="10">
        <v>2.0983300087634702</v>
      </c>
      <c r="G5" s="10">
        <v>349.38359364654701</v>
      </c>
      <c r="H5" s="10">
        <v>291.16914182620701</v>
      </c>
      <c r="I5" s="10">
        <v>427.15749039847998</v>
      </c>
      <c r="J5" s="10">
        <v>-135.80002295956999</v>
      </c>
      <c r="K5" s="10">
        <v>-23.3552122430327</v>
      </c>
      <c r="L5" s="10">
        <v>-102.386686732383</v>
      </c>
      <c r="M5" s="10">
        <v>352.82756797919097</v>
      </c>
      <c r="N5" s="10">
        <v>375.80018132998202</v>
      </c>
      <c r="O5" s="10">
        <v>57.3813719412165</v>
      </c>
      <c r="P5" s="10">
        <v>5.9714044068960703</v>
      </c>
      <c r="Q5" s="10">
        <v>5.3269490301681097</v>
      </c>
      <c r="R5" s="10">
        <v>0.20186132703462301</v>
      </c>
      <c r="S5" s="10">
        <v>1.8813684765391401</v>
      </c>
      <c r="T5" s="10">
        <v>0.94484692942459003</v>
      </c>
      <c r="U5" s="10">
        <v>1.6140854471050099</v>
      </c>
    </row>
    <row r="6" spans="1:23" x14ac:dyDescent="0.3">
      <c r="A6" t="s">
        <v>25</v>
      </c>
      <c r="B6" s="10">
        <v>0.51157923348573597</v>
      </c>
      <c r="C6" s="10">
        <v>0.59310751110297899</v>
      </c>
      <c r="D6" s="10">
        <v>9.0760464675238003E-2</v>
      </c>
      <c r="E6" s="10">
        <v>29.514226807142698</v>
      </c>
      <c r="F6" s="10">
        <v>2.9932798923194501</v>
      </c>
      <c r="G6" s="10">
        <v>267.34238710305698</v>
      </c>
      <c r="H6" s="10">
        <v>240.17120142470799</v>
      </c>
      <c r="I6" s="10">
        <v>541.33495469381796</v>
      </c>
      <c r="J6" s="10">
        <v>-57.989441383062299</v>
      </c>
      <c r="K6" s="10">
        <v>-79.523568903671404</v>
      </c>
      <c r="L6" s="10">
        <v>-181.10071654145901</v>
      </c>
      <c r="M6" s="10">
        <v>328.66130914373701</v>
      </c>
      <c r="N6" s="10">
        <v>234.68146076384599</v>
      </c>
      <c r="O6" s="10">
        <v>48.640617215127101</v>
      </c>
      <c r="P6" s="10">
        <v>0.66329624206417603</v>
      </c>
      <c r="Q6" s="10">
        <v>5.9885827680080004</v>
      </c>
      <c r="R6" s="10">
        <v>0.44988299110504398</v>
      </c>
      <c r="S6" s="10">
        <v>0.10080594271322001</v>
      </c>
      <c r="T6" s="10">
        <v>1.3672940648941001</v>
      </c>
      <c r="U6" s="10">
        <v>1.5598435050494699</v>
      </c>
    </row>
    <row r="7" spans="1:23" x14ac:dyDescent="0.3">
      <c r="A7" t="s">
        <v>26</v>
      </c>
      <c r="B7" s="10">
        <v>0.61136346201208103</v>
      </c>
      <c r="C7" s="10">
        <v>0.46257299662969398</v>
      </c>
      <c r="D7" s="10">
        <v>0.77502620879222806</v>
      </c>
      <c r="E7" s="10">
        <v>495.85249647786901</v>
      </c>
      <c r="F7" s="10">
        <v>2.9763572802502098</v>
      </c>
      <c r="G7" s="10">
        <v>378.730858985091</v>
      </c>
      <c r="H7" s="10">
        <v>48.801914144770002</v>
      </c>
      <c r="I7" s="10">
        <v>77.776355803747705</v>
      </c>
      <c r="J7" s="10">
        <v>-283.91716712255999</v>
      </c>
      <c r="K7" s="10">
        <v>-42.522736851210396</v>
      </c>
      <c r="L7" s="10">
        <v>-362.47844823703298</v>
      </c>
      <c r="M7" s="10">
        <v>374.00585707519201</v>
      </c>
      <c r="N7" s="10">
        <v>229.52299874123099</v>
      </c>
      <c r="O7" s="10">
        <v>11.975744823062</v>
      </c>
      <c r="P7" s="10">
        <v>0.67413267245759501</v>
      </c>
      <c r="Q7" s="10">
        <v>5.9999974178098601</v>
      </c>
      <c r="R7" s="10">
        <v>0.23655072878358799</v>
      </c>
      <c r="S7" s="10">
        <v>0.10022549690346</v>
      </c>
      <c r="T7" s="10">
        <v>0.26935782511441803</v>
      </c>
      <c r="U7" s="10">
        <v>1.4268128233335999</v>
      </c>
    </row>
    <row r="8" spans="1:23" x14ac:dyDescent="0.3">
      <c r="A8" t="s">
        <v>27</v>
      </c>
      <c r="B8" s="10">
        <v>0.55681124125554704</v>
      </c>
      <c r="C8" s="10">
        <v>0.35074167737220402</v>
      </c>
      <c r="D8" s="10">
        <v>1.37245043434684E-2</v>
      </c>
      <c r="E8" s="10">
        <v>6.0301744711036198</v>
      </c>
      <c r="F8" s="10">
        <v>1.8925188860492701</v>
      </c>
      <c r="G8" s="10">
        <v>198.71706788859601</v>
      </c>
      <c r="H8" s="10">
        <v>480.92817204002102</v>
      </c>
      <c r="I8" s="10">
        <v>263.64293397417902</v>
      </c>
      <c r="J8" s="10">
        <v>-53.814553554444998</v>
      </c>
      <c r="K8" s="10">
        <v>-129.54629717373999</v>
      </c>
      <c r="L8" s="10">
        <v>-175.361219547503</v>
      </c>
      <c r="M8" s="10">
        <v>303.94088440246401</v>
      </c>
      <c r="N8" s="10">
        <v>273.73714889572699</v>
      </c>
      <c r="O8" s="10">
        <v>23.339435792740499</v>
      </c>
      <c r="P8" s="10">
        <v>1.1653244055629799</v>
      </c>
      <c r="Q8" s="10">
        <v>2.9105702589015099</v>
      </c>
      <c r="R8" s="10">
        <v>0.10224991157883501</v>
      </c>
      <c r="S8" s="10">
        <v>0.140456232076098</v>
      </c>
      <c r="T8" s="10">
        <v>1.4935508465976299</v>
      </c>
      <c r="U8" s="10">
        <v>0.39658030424374302</v>
      </c>
    </row>
    <row r="9" spans="1:23" x14ac:dyDescent="0.3">
      <c r="A9" t="s">
        <v>28</v>
      </c>
      <c r="B9" s="10">
        <v>0.65351070789674404</v>
      </c>
      <c r="C9" s="10">
        <v>0.67467449249167699</v>
      </c>
      <c r="D9" s="10">
        <v>0.13619146146423899</v>
      </c>
      <c r="E9" s="10">
        <v>62.164106759296999</v>
      </c>
      <c r="F9" s="10">
        <v>0.60126894044035195</v>
      </c>
      <c r="G9" s="10">
        <v>142.57109954864799</v>
      </c>
      <c r="H9" s="10">
        <v>126.446494183167</v>
      </c>
      <c r="I9" s="10">
        <v>311.82459910292101</v>
      </c>
      <c r="J9" s="10">
        <v>-34.564969820316499</v>
      </c>
      <c r="K9" s="10">
        <v>-31.999272103126199</v>
      </c>
      <c r="L9" s="10">
        <v>-98.957820185624698</v>
      </c>
      <c r="M9" s="10">
        <v>292.50123590147302</v>
      </c>
      <c r="N9" s="10">
        <v>271.37147153366601</v>
      </c>
      <c r="O9" s="10">
        <v>22.107023707693202</v>
      </c>
      <c r="P9" s="10">
        <v>1.38102005624965</v>
      </c>
      <c r="Q9" s="10">
        <v>4.3325973231689101</v>
      </c>
      <c r="R9" s="10">
        <v>0.32138518815565298</v>
      </c>
      <c r="S9" s="10">
        <v>0.198272602909567</v>
      </c>
      <c r="T9" s="10">
        <v>0.448120466117577</v>
      </c>
      <c r="U9" s="10">
        <v>0.80814293920319002</v>
      </c>
    </row>
    <row r="10" spans="1:23" x14ac:dyDescent="0.3">
      <c r="A10" t="s">
        <v>29</v>
      </c>
      <c r="B10" s="10">
        <v>0.60026349158933801</v>
      </c>
      <c r="C10" s="10">
        <v>0.52135653128783699</v>
      </c>
      <c r="D10" s="10">
        <v>0.132212470836512</v>
      </c>
      <c r="E10" s="10">
        <v>31.624925490314599</v>
      </c>
      <c r="F10" s="10">
        <v>2.58128374499878</v>
      </c>
      <c r="G10" s="10">
        <v>206.812381397434</v>
      </c>
      <c r="H10" s="10">
        <v>445.19689934193298</v>
      </c>
      <c r="I10" s="10">
        <v>154.16713018203399</v>
      </c>
      <c r="J10" s="10">
        <v>-9.9050363657360294E-2</v>
      </c>
      <c r="K10" s="10">
        <v>-40.582271299087402</v>
      </c>
      <c r="L10" s="10">
        <v>-116.33640018084699</v>
      </c>
      <c r="M10" s="10">
        <v>327.949623199999</v>
      </c>
      <c r="N10" s="10">
        <v>283.96197152550002</v>
      </c>
      <c r="O10" s="10">
        <v>33.227388471928798</v>
      </c>
      <c r="P10" s="10">
        <v>1.0703813500850601</v>
      </c>
      <c r="Q10" s="10">
        <v>5.5493637313373601</v>
      </c>
      <c r="R10" s="10">
        <v>0.230454066465624</v>
      </c>
      <c r="S10" s="10">
        <v>0.10680025663968799</v>
      </c>
      <c r="T10" s="10">
        <v>0.17786109165508901</v>
      </c>
      <c r="U10" s="10">
        <v>1.2350472397530501</v>
      </c>
    </row>
    <row r="11" spans="1:23" x14ac:dyDescent="0.3">
      <c r="A11" t="s">
        <v>30</v>
      </c>
      <c r="B11" s="10">
        <v>0.52796028692755004</v>
      </c>
      <c r="C11" s="10">
        <v>0.36092217938737903</v>
      </c>
      <c r="D11" s="10">
        <v>0.12292289776069899</v>
      </c>
      <c r="E11" s="10">
        <v>48.447526261387303</v>
      </c>
      <c r="F11" s="10">
        <v>0.66520321121347803</v>
      </c>
      <c r="G11" s="10">
        <v>63.525949038991001</v>
      </c>
      <c r="H11" s="10">
        <v>273.43056871220102</v>
      </c>
      <c r="I11" s="10">
        <v>294.98613618611699</v>
      </c>
      <c r="J11" s="10">
        <v>-5.55717051075115</v>
      </c>
      <c r="K11" s="10">
        <v>-25.0906794222089</v>
      </c>
      <c r="L11" s="10">
        <v>-90.542657848199894</v>
      </c>
      <c r="M11" s="10">
        <v>337.33985082356497</v>
      </c>
      <c r="N11" s="10">
        <v>258.23863001213198</v>
      </c>
      <c r="O11" s="10">
        <v>16.802151126164599</v>
      </c>
      <c r="P11" s="10">
        <v>1.50392832987264</v>
      </c>
      <c r="Q11" s="10">
        <v>4.3842426260623402</v>
      </c>
      <c r="R11" s="10">
        <v>0.44156529106103798</v>
      </c>
      <c r="S11" s="10">
        <v>0.128946976627171</v>
      </c>
      <c r="T11" s="10">
        <v>8.1200539454317905E-2</v>
      </c>
      <c r="U11" s="10">
        <v>1.7917193119714701</v>
      </c>
    </row>
    <row r="12" spans="1:23" ht="15" thickBot="1" x14ac:dyDescent="0.35"/>
    <row r="13" spans="1:23" x14ac:dyDescent="0.3">
      <c r="A13" s="2" t="s">
        <v>36</v>
      </c>
      <c r="B13" s="13">
        <f>AVERAGE(Table1820[best_pearson_r])</f>
        <v>0.593207558714405</v>
      </c>
      <c r="C13" s="12">
        <f>AVERAGE(Table1820[best_difference_vector_r])</f>
        <v>0.49595906499474263</v>
      </c>
      <c r="D13" s="12">
        <f>AVERAGE(Table1820[seed_a_e])</f>
        <v>0.29824934523295876</v>
      </c>
      <c r="E13" s="12">
        <f>AVERAGE(Table1820[seed_b_e])</f>
        <v>72.576876832273314</v>
      </c>
      <c r="F13" s="12">
        <f>AVERAGE(Table1820[seed_d_e])</f>
        <v>1.4634409821471634</v>
      </c>
      <c r="G13" s="12">
        <f>AVERAGE(Table1820[seed_c_I_sst])</f>
        <v>270.17538741422669</v>
      </c>
      <c r="H13" s="12">
        <f>AVERAGE(Table1820[seed_c_I_vip])</f>
        <v>231.34204433779433</v>
      </c>
      <c r="I13" s="12">
        <f>AVERAGE(Table1820[seed_c_I_pv])</f>
        <v>304.73854407125185</v>
      </c>
      <c r="J13" s="12">
        <f>AVERAGE(Table1820[seed_r_0_sst])</f>
        <v>-80.611154049345117</v>
      </c>
      <c r="K13" s="12">
        <f>AVERAGE(Table1820[seed_r_0_vip])</f>
        <v>-75.276939181751629</v>
      </c>
      <c r="L13" s="12">
        <f>AVERAGE(Table1820[seed_r_0_pv])</f>
        <v>-173.41477376061738</v>
      </c>
      <c r="M13" s="12">
        <f>AVERAGE(Table1820[I_background_e])</f>
        <v>331.76617042780663</v>
      </c>
      <c r="N13" s="12">
        <f>AVERAGE(Table1820[I_background_i])</f>
        <v>282.51068850228933</v>
      </c>
      <c r="O13" s="12">
        <f>AVERAGE(Table1820[I_background_dend])</f>
        <v>31.250374653660735</v>
      </c>
      <c r="P13" s="12">
        <f>AVERAGE(Table1820[mu_ee])</f>
        <v>1.6026387829650908</v>
      </c>
      <c r="Q13" s="12">
        <f>AVERAGE(Table1820[mu_ie])</f>
        <v>4.8267201579662524</v>
      </c>
      <c r="R13" s="12">
        <f>AVERAGE(Table1820[e_grad_min])</f>
        <v>0.26459669600610575</v>
      </c>
      <c r="S13" s="12">
        <f>AVERAGE(Table1820[balloon_kappa])</f>
        <v>0.29673415956003812</v>
      </c>
      <c r="T13" s="12">
        <f>AVERAGE(Table1820[balloon_gamma])</f>
        <v>0.64446547977418822</v>
      </c>
      <c r="U13" s="12">
        <f>AVERAGE(Table1820[balloon_tau])</f>
        <v>1.3303122934537115</v>
      </c>
    </row>
    <row r="14" spans="1:23" x14ac:dyDescent="0.3">
      <c r="A14" s="3" t="s">
        <v>37</v>
      </c>
      <c r="B14" s="13">
        <f>_xlfn.STDEV.P(Table1820[best_pearson_r])</f>
        <v>6.985591113403529E-2</v>
      </c>
      <c r="C14" s="12">
        <f>_xlfn.STDEV.P(Table1820[best_difference_vector_r])</f>
        <v>0.1005714583323683</v>
      </c>
      <c r="D14" s="12">
        <f>_xlfn.STDEV.P(Table1820[seed_a_e])</f>
        <v>0.32708552124949458</v>
      </c>
      <c r="E14" s="12">
        <f>_xlfn.STDEV.P(Table1820[seed_b_e])</f>
        <v>142.32261809524977</v>
      </c>
      <c r="F14" s="12">
        <f>_xlfn.STDEV.P(Table1820[seed_d_e])</f>
        <v>1.1056924812684605</v>
      </c>
      <c r="G14" s="12">
        <f>_xlfn.STDEV.P(Table1820[seed_c_I_sst])</f>
        <v>118.85159279680438</v>
      </c>
      <c r="H14" s="12">
        <f>_xlfn.STDEV.P(Table1820[seed_c_I_vip])</f>
        <v>139.01304093169165</v>
      </c>
      <c r="I14" s="12">
        <f>_xlfn.STDEV.P(Table1820[seed_c_I_pv])</f>
        <v>221.75546039986094</v>
      </c>
      <c r="J14" s="12">
        <f>_xlfn.STDEV.P(Table1820[seed_r_0_sst])</f>
        <v>85.063956159097458</v>
      </c>
      <c r="K14" s="12">
        <f>_xlfn.STDEV.P(Table1820[seed_r_0_vip])</f>
        <v>51.37920869009433</v>
      </c>
      <c r="L14" s="12">
        <f>_xlfn.STDEV.P(Table1820[seed_r_0_pv])</f>
        <v>82.923105947138055</v>
      </c>
      <c r="M14" s="12">
        <f>_xlfn.STDEV.P(Table1820[I_background_e])</f>
        <v>43.329742255920529</v>
      </c>
      <c r="N14" s="12">
        <f>_xlfn.STDEV.P(Table1820[I_background_i])</f>
        <v>41.060665700231496</v>
      </c>
      <c r="O14" s="12">
        <f>_xlfn.STDEV.P(Table1820[I_background_dend])</f>
        <v>13.406726668954178</v>
      </c>
      <c r="P14" s="12">
        <f>_xlfn.STDEV.P(Table1820[mu_ee])</f>
        <v>1.5084873382969142</v>
      </c>
      <c r="Q14" s="12">
        <f>_xlfn.STDEV.P(Table1820[mu_ie])</f>
        <v>1.0507412903951312</v>
      </c>
      <c r="R14" s="12">
        <f>_xlfn.STDEV.P(Table1820[e_grad_min])</f>
        <v>0.13619791407416829</v>
      </c>
      <c r="S14" s="12">
        <f>_xlfn.STDEV.P(Table1820[balloon_kappa])</f>
        <v>0.52900713153886858</v>
      </c>
      <c r="T14" s="12">
        <f>_xlfn.STDEV.P(Table1820[balloon_gamma])</f>
        <v>0.54690401979118364</v>
      </c>
      <c r="U14" s="12">
        <f>_xlfn.STDEV.P(Table1820[balloon_tau])</f>
        <v>0.61683310529164304</v>
      </c>
    </row>
    <row r="15" spans="1:23" ht="15" thickBot="1" x14ac:dyDescent="0.35">
      <c r="A15" s="4" t="s">
        <v>38</v>
      </c>
      <c r="B15" s="13">
        <f>VAR(Table1820[best_pearson_r])</f>
        <v>5.4220536892957876E-3</v>
      </c>
      <c r="C15" s="12">
        <f>VAR(Table1820[best_difference_vector_r])</f>
        <v>1.1238464701221437E-2</v>
      </c>
      <c r="D15" s="12">
        <f>VAR(Table1820[seed_a_e])</f>
        <v>0.1188721535678373</v>
      </c>
      <c r="E15" s="12">
        <f>VAR(Table1820[seed_b_e])</f>
        <v>22506.364023873692</v>
      </c>
      <c r="F15" s="12">
        <f>VAR(Table1820[seed_d_e])</f>
        <v>1.3583954034817833</v>
      </c>
      <c r="G15" s="12">
        <f>VAR(Table1820[seed_c_I_sst])</f>
        <v>15695.223455930452</v>
      </c>
      <c r="H15" s="12">
        <f>VAR(Table1820[seed_c_I_vip])</f>
        <v>21471.806165640202</v>
      </c>
      <c r="I15" s="12">
        <f>VAR(Table1820[seed_c_I_pv])</f>
        <v>54639.426907949201</v>
      </c>
      <c r="J15" s="12">
        <f>VAR(Table1820[seed_r_0_sst])</f>
        <v>8039.8629304853948</v>
      </c>
      <c r="K15" s="12">
        <f>VAR(Table1820[seed_r_0_vip])</f>
        <v>2933.1367618002946</v>
      </c>
      <c r="L15" s="12">
        <f>VAR(Table1820[seed_r_0_pv])</f>
        <v>7640.2683332447587</v>
      </c>
      <c r="M15" s="12">
        <f>VAR(Table1820[I_background_e])</f>
        <v>2086.0739599605763</v>
      </c>
      <c r="N15" s="12">
        <f>VAR(Table1820[I_background_i])</f>
        <v>1873.309186384638</v>
      </c>
      <c r="O15" s="12">
        <f>VAR(Table1820[I_background_dend])</f>
        <v>199.71146664005229</v>
      </c>
      <c r="P15" s="12">
        <f>VAR(Table1820[mu_ee])</f>
        <v>2.5283711664467878</v>
      </c>
      <c r="Q15" s="12">
        <f>VAR(Table1820[mu_ie])</f>
        <v>1.2267302881569182</v>
      </c>
      <c r="R15" s="12">
        <f>VAR(Table1820[e_grad_min])</f>
        <v>2.061096866461614E-2</v>
      </c>
      <c r="S15" s="12">
        <f>VAR(Table1820[balloon_kappa])</f>
        <v>0.31094282802109091</v>
      </c>
      <c r="T15" s="12">
        <f>VAR(Table1820[balloon_gamma])</f>
        <v>0.3323377854041728</v>
      </c>
      <c r="U15" s="12">
        <f>VAR(Table1820[balloon_tau])</f>
        <v>0.4227589775374791</v>
      </c>
    </row>
    <row r="16" spans="1:23" ht="15" thickBot="1" x14ac:dyDescent="0.35"/>
    <row r="17" spans="1:21" x14ac:dyDescent="0.3">
      <c r="A17" s="15" t="s">
        <v>32</v>
      </c>
      <c r="B17" s="16">
        <f>MIN(Table1820[best_pearson_r])</f>
        <v>0.48840316014479601</v>
      </c>
      <c r="C17" s="17">
        <f>MIN(Table1820[best_difference_vector_r])</f>
        <v>0.35074167737220402</v>
      </c>
      <c r="D17" s="17">
        <f>MIN(Table1820[seed_a_e])</f>
        <v>1.37245043434684E-2</v>
      </c>
      <c r="E17" s="17">
        <f>MIN(Table1820[seed_b_e])</f>
        <v>1.1541217117804401</v>
      </c>
      <c r="F17" s="17">
        <f>MIN(Table1820[seed_d_e])</f>
        <v>1.0002788626868001E-2</v>
      </c>
      <c r="G17" s="17">
        <f>MIN(Table1820[seed_c_I_sst])</f>
        <v>63.525949038991001</v>
      </c>
      <c r="H17" s="17">
        <f>MIN(Table1820[seed_c_I_vip])</f>
        <v>48.801914144770002</v>
      </c>
      <c r="I17" s="17">
        <f>MIN(Table1820[seed_c_I_pv])</f>
        <v>34.613449478593601</v>
      </c>
      <c r="J17" s="17">
        <f>MIN(Table1820[seed_r_0_sst])</f>
        <v>-283.91716712255999</v>
      </c>
      <c r="K17" s="17">
        <f>MIN(Table1820[seed_r_0_vip])</f>
        <v>-163.51282790285501</v>
      </c>
      <c r="L17" s="17">
        <f>MIN(Table1820[seed_r_0_pv])</f>
        <v>-362.47844823703298</v>
      </c>
      <c r="M17" s="17">
        <f>MIN(Table1820[I_background_e])</f>
        <v>249.944372693215</v>
      </c>
      <c r="N17" s="17">
        <f>MIN(Table1820[I_background_i])</f>
        <v>229.52299874123099</v>
      </c>
      <c r="O17" s="17">
        <f>MIN(Table1820[I_background_dend])</f>
        <v>11.975744823062</v>
      </c>
      <c r="P17" s="17">
        <f>MIN(Table1820[mu_ee])</f>
        <v>0.51822808473398296</v>
      </c>
      <c r="Q17" s="17">
        <f>MIN(Table1820[mu_ie])</f>
        <v>2.9105702589015099</v>
      </c>
      <c r="R17" s="17">
        <f>MIN(Table1820[e_grad_min])</f>
        <v>0.10000825970358</v>
      </c>
      <c r="S17" s="17">
        <f>MIN(Table1820[balloon_kappa])</f>
        <v>0.10022549690346</v>
      </c>
      <c r="T17" s="17">
        <f>MIN(Table1820[balloon_gamma])</f>
        <v>8.1200539454317905E-2</v>
      </c>
      <c r="U17" s="17">
        <f>MIN(Table1820[balloon_tau])</f>
        <v>0.39592331101205303</v>
      </c>
    </row>
    <row r="18" spans="1:21" x14ac:dyDescent="0.3">
      <c r="A18" s="19" t="s">
        <v>33</v>
      </c>
      <c r="B18" s="16">
        <f>MAX(Table1820[best_pearson_r])</f>
        <v>0.712406808509643</v>
      </c>
      <c r="C18" s="17">
        <f>MAX(Table1820[best_difference_vector_r])</f>
        <v>0.67467449249167699</v>
      </c>
      <c r="D18" s="17">
        <f>MAX(Table1820[seed_a_e])</f>
        <v>0.899999835774972</v>
      </c>
      <c r="E18" s="17">
        <f>MAX(Table1820[seed_b_e])</f>
        <v>495.85249647786901</v>
      </c>
      <c r="F18" s="17">
        <f>MAX(Table1820[seed_d_e])</f>
        <v>2.9932798923194501</v>
      </c>
      <c r="G18" s="17">
        <f>MAX(Table1820[seed_c_I_sst])</f>
        <v>499.95010750964502</v>
      </c>
      <c r="H18" s="17">
        <f>MAX(Table1820[seed_c_I_vip])</f>
        <v>480.92817204002102</v>
      </c>
      <c r="I18" s="17">
        <f>MAX(Table1820[seed_c_I_pv])</f>
        <v>799.99940949574795</v>
      </c>
      <c r="J18" s="17">
        <f>MAX(Table1820[seed_r_0_sst])</f>
        <v>-1.6886028927443799E-4</v>
      </c>
      <c r="K18" s="17">
        <f>MAX(Table1820[seed_r_0_vip])</f>
        <v>-23.3552122430327</v>
      </c>
      <c r="L18" s="17">
        <f>MAX(Table1820[seed_r_0_pv])</f>
        <v>-90.542657848199894</v>
      </c>
      <c r="M18" s="17">
        <f>MAX(Table1820[I_background_e])</f>
        <v>418.25670506356499</v>
      </c>
      <c r="N18" s="17">
        <f>MAX(Table1820[I_background_i])</f>
        <v>375.80018132998202</v>
      </c>
      <c r="O18" s="17">
        <f>MAX(Table1820[I_background_dend])</f>
        <v>57.3813719412165</v>
      </c>
      <c r="P18" s="17">
        <f>MAX(Table1820[mu_ee])</f>
        <v>5.9714044068960703</v>
      </c>
      <c r="Q18" s="17">
        <f>MAX(Table1820[mu_ie])</f>
        <v>5.9999974178098601</v>
      </c>
      <c r="R18" s="17">
        <f>MAX(Table1820[e_grad_min])</f>
        <v>0.44988299110504398</v>
      </c>
      <c r="S18" s="17">
        <f>MAX(Table1820[balloon_kappa])</f>
        <v>1.8813684765391401</v>
      </c>
      <c r="T18" s="17">
        <f>MAX(Table1820[balloon_gamma])</f>
        <v>1.4935508465976299</v>
      </c>
      <c r="U18" s="17">
        <f>MAX(Table1820[balloon_tau])</f>
        <v>2.4971317426222299</v>
      </c>
    </row>
    <row r="19" spans="1:21" ht="15" thickBot="1" x14ac:dyDescent="0.35">
      <c r="A19" s="18" t="s">
        <v>34</v>
      </c>
      <c r="B19" s="16">
        <f>B18-B17</f>
        <v>0.22400364836484699</v>
      </c>
      <c r="C19" s="17">
        <f t="shared" ref="C19:U19" si="0">C18-C17</f>
        <v>0.32393281511947297</v>
      </c>
      <c r="D19" s="17">
        <f t="shared" si="0"/>
        <v>0.88627533143150361</v>
      </c>
      <c r="E19" s="17">
        <f t="shared" si="0"/>
        <v>494.69837476608859</v>
      </c>
      <c r="F19" s="17">
        <f t="shared" si="0"/>
        <v>2.9832771036925823</v>
      </c>
      <c r="G19" s="17">
        <f t="shared" si="0"/>
        <v>436.42415847065399</v>
      </c>
      <c r="H19" s="17">
        <f t="shared" si="0"/>
        <v>432.126257895251</v>
      </c>
      <c r="I19" s="17">
        <f t="shared" si="0"/>
        <v>765.38596001715439</v>
      </c>
      <c r="J19" s="17">
        <f t="shared" si="0"/>
        <v>283.91699826227074</v>
      </c>
      <c r="K19" s="17">
        <f t="shared" si="0"/>
        <v>140.15761565982231</v>
      </c>
      <c r="L19" s="17">
        <f t="shared" si="0"/>
        <v>271.93579038883308</v>
      </c>
      <c r="M19" s="17">
        <f t="shared" si="0"/>
        <v>168.31233237034999</v>
      </c>
      <c r="N19" s="17">
        <f t="shared" si="0"/>
        <v>146.27718258875103</v>
      </c>
      <c r="O19" s="17">
        <f t="shared" si="0"/>
        <v>45.405627118154499</v>
      </c>
      <c r="P19" s="17">
        <f t="shared" si="0"/>
        <v>5.4531763221620873</v>
      </c>
      <c r="Q19" s="17">
        <f t="shared" si="0"/>
        <v>3.0894271589083502</v>
      </c>
      <c r="R19" s="17">
        <f t="shared" si="0"/>
        <v>0.34987473140146397</v>
      </c>
      <c r="S19" s="17">
        <f t="shared" si="0"/>
        <v>1.7811429796356801</v>
      </c>
      <c r="T19" s="17">
        <f t="shared" si="0"/>
        <v>1.4123503071433121</v>
      </c>
      <c r="U19" s="17">
        <f t="shared" si="0"/>
        <v>2.1012084316101767</v>
      </c>
    </row>
    <row r="20" spans="1:21" ht="15" thickBot="1" x14ac:dyDescent="0.35"/>
    <row r="21" spans="1:21" ht="15" thickBot="1" x14ac:dyDescent="0.35">
      <c r="A21" s="14" t="s">
        <v>35</v>
      </c>
    </row>
    <row r="22" spans="1:21" x14ac:dyDescent="0.3">
      <c r="A22" s="8" t="s">
        <v>18</v>
      </c>
      <c r="B22" s="8" t="s">
        <v>20</v>
      </c>
      <c r="C22" s="8" t="s">
        <v>19</v>
      </c>
      <c r="D22" s="8" t="s">
        <v>0</v>
      </c>
      <c r="E22" s="8" t="s">
        <v>1</v>
      </c>
      <c r="F22" s="8" t="s">
        <v>2</v>
      </c>
      <c r="G22" s="8" t="s">
        <v>3</v>
      </c>
      <c r="H22" s="8" t="s">
        <v>4</v>
      </c>
      <c r="I22" s="8" t="s">
        <v>5</v>
      </c>
      <c r="J22" s="8" t="s">
        <v>6</v>
      </c>
      <c r="K22" s="8" t="s">
        <v>7</v>
      </c>
      <c r="L22" s="8" t="s">
        <v>8</v>
      </c>
      <c r="M22" s="8" t="s">
        <v>9</v>
      </c>
      <c r="N22" s="8" t="s">
        <v>10</v>
      </c>
      <c r="O22" s="8" t="s">
        <v>11</v>
      </c>
      <c r="P22" s="8" t="s">
        <v>12</v>
      </c>
      <c r="Q22" s="8" t="s">
        <v>13</v>
      </c>
      <c r="R22" s="8" t="s">
        <v>14</v>
      </c>
      <c r="S22" s="8" t="s">
        <v>15</v>
      </c>
      <c r="T22" s="8" t="s">
        <v>16</v>
      </c>
      <c r="U22" s="9" t="s">
        <v>17</v>
      </c>
    </row>
    <row r="23" spans="1:21" x14ac:dyDescent="0.3">
      <c r="A23" s="1" t="s">
        <v>21</v>
      </c>
      <c r="B23" s="11">
        <f t="shared" ref="B23:U23" si="1">(B2-B$17)/B$19</f>
        <v>1</v>
      </c>
      <c r="C23" s="11">
        <f t="shared" si="1"/>
        <v>0.5319158537587505</v>
      </c>
      <c r="D23" s="11">
        <f t="shared" si="1"/>
        <v>0.76689850887868849</v>
      </c>
      <c r="E23" s="11">
        <f t="shared" si="1"/>
        <v>0</v>
      </c>
      <c r="F23" s="11">
        <f t="shared" si="1"/>
        <v>0</v>
      </c>
      <c r="G23" s="11">
        <f t="shared" si="1"/>
        <v>0.58185987321500265</v>
      </c>
      <c r="H23" s="11">
        <f t="shared" si="1"/>
        <v>0.23397573684046927</v>
      </c>
      <c r="I23" s="11">
        <f t="shared" si="1"/>
        <v>1</v>
      </c>
      <c r="J23" s="11">
        <f t="shared" si="1"/>
        <v>1</v>
      </c>
      <c r="K23" s="11">
        <f t="shared" si="1"/>
        <v>0</v>
      </c>
      <c r="L23" s="11">
        <f t="shared" si="1"/>
        <v>0.37385160349525931</v>
      </c>
      <c r="M23" s="11">
        <f t="shared" si="1"/>
        <v>0</v>
      </c>
      <c r="N23" s="11">
        <f t="shared" si="1"/>
        <v>0.35918383891264172</v>
      </c>
      <c r="O23" s="11">
        <f t="shared" si="1"/>
        <v>0.60132763494465202</v>
      </c>
      <c r="P23" s="11">
        <f t="shared" si="1"/>
        <v>0.12820057331464138</v>
      </c>
      <c r="Q23" s="11">
        <f t="shared" si="1"/>
        <v>0.1895299463089172</v>
      </c>
      <c r="R23" s="11">
        <f t="shared" si="1"/>
        <v>3.5851909458570592E-2</v>
      </c>
      <c r="S23" s="11">
        <f t="shared" si="1"/>
        <v>6.0024332406861535E-4</v>
      </c>
      <c r="T23" s="11">
        <f t="shared" si="1"/>
        <v>2.507812029450927E-2</v>
      </c>
      <c r="U23" s="11">
        <f t="shared" si="1"/>
        <v>0.56249203146664295</v>
      </c>
    </row>
    <row r="24" spans="1:21" x14ac:dyDescent="0.3">
      <c r="A24" s="5" t="s">
        <v>22</v>
      </c>
      <c r="B24" s="11">
        <f t="shared" ref="B24:U24" si="2">(B3-B$17)/B$19</f>
        <v>0</v>
      </c>
      <c r="C24" s="11">
        <f t="shared" si="2"/>
        <v>0.44637312509783689</v>
      </c>
      <c r="D24" s="11">
        <f t="shared" si="2"/>
        <v>1</v>
      </c>
      <c r="E24" s="11">
        <f t="shared" si="2"/>
        <v>1.394163984395156E-4</v>
      </c>
      <c r="F24" s="11">
        <f t="shared" si="2"/>
        <v>8.6687648579132567E-2</v>
      </c>
      <c r="G24" s="11">
        <f t="shared" si="2"/>
        <v>1</v>
      </c>
      <c r="H24" s="11">
        <f t="shared" si="2"/>
        <v>0.32898156552826396</v>
      </c>
      <c r="I24" s="11">
        <f t="shared" si="2"/>
        <v>0</v>
      </c>
      <c r="J24" s="11">
        <f t="shared" si="2"/>
        <v>0.44330352636411174</v>
      </c>
      <c r="K24" s="11">
        <f t="shared" si="2"/>
        <v>7.0683294185667961E-2</v>
      </c>
      <c r="L24" s="11">
        <f t="shared" si="2"/>
        <v>0.52008878700836425</v>
      </c>
      <c r="M24" s="11">
        <f t="shared" si="2"/>
        <v>1</v>
      </c>
      <c r="N24" s="11">
        <f t="shared" si="2"/>
        <v>0.68715919567454697</v>
      </c>
      <c r="O24" s="11">
        <f t="shared" si="2"/>
        <v>0.45154348916195136</v>
      </c>
      <c r="P24" s="11">
        <f t="shared" si="2"/>
        <v>0</v>
      </c>
      <c r="Q24" s="11">
        <f t="shared" si="2"/>
        <v>0.99837051748094974</v>
      </c>
      <c r="R24" s="11">
        <f t="shared" si="2"/>
        <v>0.99878318784013453</v>
      </c>
      <c r="S24" s="11">
        <f t="shared" si="2"/>
        <v>1.9209676044535482E-4</v>
      </c>
      <c r="T24" s="11">
        <f t="shared" si="2"/>
        <v>9.1884340436242745E-2</v>
      </c>
      <c r="U24" s="11">
        <f t="shared" si="2"/>
        <v>1</v>
      </c>
    </row>
    <row r="25" spans="1:21" x14ac:dyDescent="0.3">
      <c r="A25" s="1" t="s">
        <v>23</v>
      </c>
      <c r="B25" s="11">
        <f t="shared" ref="B25:U25" si="3">(B4-B$17)/B$19</f>
        <v>0.45755570134767282</v>
      </c>
      <c r="C25" s="11">
        <f t="shared" si="3"/>
        <v>0.71821922371682578</v>
      </c>
      <c r="D25" s="11">
        <f t="shared" si="3"/>
        <v>2.2007300507130068E-2</v>
      </c>
      <c r="E25" s="11">
        <f t="shared" si="3"/>
        <v>4.6084421998494808E-2</v>
      </c>
      <c r="F25" s="11">
        <f t="shared" si="3"/>
        <v>0.18018648475919069</v>
      </c>
      <c r="G25" s="11">
        <f t="shared" si="3"/>
        <v>0.48973188418245789</v>
      </c>
      <c r="H25" s="11">
        <f t="shared" si="3"/>
        <v>4.0732717629686159E-2</v>
      </c>
      <c r="I25" s="11">
        <f t="shared" si="3"/>
        <v>0.14015090101193156</v>
      </c>
      <c r="J25" s="11">
        <f t="shared" si="3"/>
        <v>0.73121346404968113</v>
      </c>
      <c r="K25" s="11">
        <f t="shared" si="3"/>
        <v>0.71692378208660579</v>
      </c>
      <c r="L25" s="11">
        <f t="shared" si="3"/>
        <v>0.87284270079521298</v>
      </c>
      <c r="M25" s="11">
        <f t="shared" si="3"/>
        <v>0.48891203718442572</v>
      </c>
      <c r="N25" s="11">
        <f t="shared" si="3"/>
        <v>0.38398275029845563</v>
      </c>
      <c r="O25" s="11">
        <f t="shared" si="3"/>
        <v>0.33688567465498365</v>
      </c>
      <c r="P25" s="11">
        <f t="shared" si="3"/>
        <v>0.24629971635343259</v>
      </c>
      <c r="Q25" s="11">
        <f t="shared" si="3"/>
        <v>0.44450172214932904</v>
      </c>
      <c r="R25" s="11">
        <f t="shared" si="3"/>
        <v>0</v>
      </c>
      <c r="S25" s="11">
        <f t="shared" si="3"/>
        <v>4.7036367088029241E-3</v>
      </c>
      <c r="T25" s="11">
        <f t="shared" si="3"/>
        <v>0.88761934092650396</v>
      </c>
      <c r="U25" s="11">
        <f t="shared" si="3"/>
        <v>0</v>
      </c>
    </row>
    <row r="26" spans="1:21" x14ac:dyDescent="0.3">
      <c r="A26" s="5" t="s">
        <v>24</v>
      </c>
      <c r="B26" s="11">
        <f t="shared" ref="B26:U26" si="4">(B5-B$17)/B$19</f>
        <v>0.85032868880228274</v>
      </c>
      <c r="C26" s="11">
        <f t="shared" si="4"/>
        <v>0.13488560656579915</v>
      </c>
      <c r="D26" s="11">
        <f t="shared" si="4"/>
        <v>8.0442651895790487E-2</v>
      </c>
      <c r="E26" s="11">
        <f t="shared" si="4"/>
        <v>4.983231952144538E-2</v>
      </c>
      <c r="F26" s="11">
        <f t="shared" si="4"/>
        <v>0.70001114464082248</v>
      </c>
      <c r="G26" s="11">
        <f t="shared" si="4"/>
        <v>0.6549995894115419</v>
      </c>
      <c r="H26" s="11">
        <f t="shared" si="4"/>
        <v>0.56087132696339814</v>
      </c>
      <c r="I26" s="11">
        <f t="shared" si="4"/>
        <v>0.51287071023760145</v>
      </c>
      <c r="J26" s="11">
        <f t="shared" si="4"/>
        <v>0.5216917094416641</v>
      </c>
      <c r="K26" s="11">
        <f t="shared" si="4"/>
        <v>1</v>
      </c>
      <c r="L26" s="11">
        <f t="shared" si="4"/>
        <v>0.9564454944777675</v>
      </c>
      <c r="M26" s="11">
        <f t="shared" si="4"/>
        <v>0.61126355886741868</v>
      </c>
      <c r="N26" s="11">
        <f t="shared" si="4"/>
        <v>1</v>
      </c>
      <c r="O26" s="11">
        <f t="shared" si="4"/>
        <v>1</v>
      </c>
      <c r="P26" s="11">
        <f t="shared" si="4"/>
        <v>1</v>
      </c>
      <c r="Q26" s="11">
        <f t="shared" si="4"/>
        <v>0.78214460059334356</v>
      </c>
      <c r="R26" s="11">
        <f t="shared" si="4"/>
        <v>0.29111295612306348</v>
      </c>
      <c r="S26" s="11">
        <f t="shared" si="4"/>
        <v>1</v>
      </c>
      <c r="T26" s="11">
        <f t="shared" si="4"/>
        <v>0.61149587719290754</v>
      </c>
      <c r="U26" s="11">
        <f t="shared" si="4"/>
        <v>0.5797435979064044</v>
      </c>
    </row>
    <row r="27" spans="1:21" x14ac:dyDescent="0.3">
      <c r="A27" s="1" t="s">
        <v>25</v>
      </c>
      <c r="B27" s="11">
        <f t="shared" ref="B27:U27" si="5">(B6-B$17)/B$19</f>
        <v>0.10346292799299334</v>
      </c>
      <c r="C27" s="11">
        <f t="shared" si="5"/>
        <v>0.74819784356020103</v>
      </c>
      <c r="D27" s="11">
        <f t="shared" si="5"/>
        <v>8.6921025103273306E-2</v>
      </c>
      <c r="E27" s="11">
        <f t="shared" si="5"/>
        <v>5.7328074119450963E-2</v>
      </c>
      <c r="F27" s="11">
        <f t="shared" si="5"/>
        <v>1</v>
      </c>
      <c r="G27" s="11">
        <f t="shared" si="5"/>
        <v>0.46701456394690166</v>
      </c>
      <c r="H27" s="11">
        <f t="shared" si="5"/>
        <v>0.44285503086999778</v>
      </c>
      <c r="I27" s="11">
        <f t="shared" si="5"/>
        <v>0.66204703468021198</v>
      </c>
      <c r="J27" s="11">
        <f t="shared" si="5"/>
        <v>0.79575272746013981</v>
      </c>
      <c r="K27" s="11">
        <f t="shared" si="5"/>
        <v>0.59924862879399021</v>
      </c>
      <c r="L27" s="11">
        <f t="shared" si="5"/>
        <v>0.66698734813915894</v>
      </c>
      <c r="M27" s="11">
        <f t="shared" si="5"/>
        <v>0.46768371242883944</v>
      </c>
      <c r="N27" s="11">
        <f t="shared" si="5"/>
        <v>3.5264980712116152E-2</v>
      </c>
      <c r="O27" s="11">
        <f t="shared" si="5"/>
        <v>0.80749622280638889</v>
      </c>
      <c r="P27" s="11">
        <f t="shared" si="5"/>
        <v>2.6602506275219089E-2</v>
      </c>
      <c r="Q27" s="11">
        <f t="shared" si="5"/>
        <v>0.99630525362316913</v>
      </c>
      <c r="R27" s="11">
        <f t="shared" si="5"/>
        <v>1</v>
      </c>
      <c r="S27" s="11">
        <f t="shared" si="5"/>
        <v>3.2588389387961091E-4</v>
      </c>
      <c r="T27" s="11">
        <f t="shared" si="5"/>
        <v>0.91060519400537188</v>
      </c>
      <c r="U27" s="11">
        <f t="shared" si="5"/>
        <v>0.55392895656024632</v>
      </c>
    </row>
    <row r="28" spans="1:21" x14ac:dyDescent="0.3">
      <c r="A28" s="5" t="s">
        <v>26</v>
      </c>
      <c r="B28" s="11">
        <f t="shared" ref="B28:U28" si="6">(B7-B$17)/B$19</f>
        <v>0.54892097858608468</v>
      </c>
      <c r="C28" s="11">
        <f t="shared" si="6"/>
        <v>0.34522997991495336</v>
      </c>
      <c r="D28" s="11">
        <f t="shared" si="6"/>
        <v>0.8589900648809804</v>
      </c>
      <c r="E28" s="11">
        <f t="shared" si="6"/>
        <v>1</v>
      </c>
      <c r="F28" s="11">
        <f t="shared" si="6"/>
        <v>0.99432750915149848</v>
      </c>
      <c r="G28" s="11">
        <f t="shared" si="6"/>
        <v>0.72224441252441562</v>
      </c>
      <c r="H28" s="11">
        <f t="shared" si="6"/>
        <v>0</v>
      </c>
      <c r="I28" s="11">
        <f t="shared" si="6"/>
        <v>5.6393647884770068E-2</v>
      </c>
      <c r="J28" s="11">
        <f t="shared" si="6"/>
        <v>0</v>
      </c>
      <c r="K28" s="11">
        <f t="shared" si="6"/>
        <v>0.86324307446340021</v>
      </c>
      <c r="L28" s="11">
        <f t="shared" si="6"/>
        <v>0</v>
      </c>
      <c r="M28" s="11">
        <f t="shared" si="6"/>
        <v>0.73709087524849581</v>
      </c>
      <c r="N28" s="11">
        <f t="shared" si="6"/>
        <v>0</v>
      </c>
      <c r="O28" s="11">
        <f t="shared" si="6"/>
        <v>0</v>
      </c>
      <c r="P28" s="11">
        <f t="shared" si="6"/>
        <v>2.8589683977392217E-2</v>
      </c>
      <c r="Q28" s="11">
        <f t="shared" si="6"/>
        <v>1</v>
      </c>
      <c r="R28" s="11">
        <f t="shared" si="6"/>
        <v>0.39026101865965351</v>
      </c>
      <c r="S28" s="11">
        <f t="shared" si="6"/>
        <v>0</v>
      </c>
      <c r="T28" s="11">
        <f t="shared" si="6"/>
        <v>0.13322281639933659</v>
      </c>
      <c r="U28" s="11">
        <f t="shared" si="6"/>
        <v>0.49061744509161626</v>
      </c>
    </row>
    <row r="29" spans="1:21" x14ac:dyDescent="0.3">
      <c r="A29" s="1" t="s">
        <v>27</v>
      </c>
      <c r="B29" s="11">
        <f t="shared" ref="B29:U29" si="7">(B8-B$17)/B$19</f>
        <v>0.30538824528130476</v>
      </c>
      <c r="C29" s="11">
        <f t="shared" si="7"/>
        <v>0</v>
      </c>
      <c r="D29" s="11">
        <f t="shared" si="7"/>
        <v>0</v>
      </c>
      <c r="E29" s="11">
        <f t="shared" si="7"/>
        <v>9.8566177049373878E-3</v>
      </c>
      <c r="F29" s="11">
        <f t="shared" si="7"/>
        <v>0.6310228758476033</v>
      </c>
      <c r="G29" s="11">
        <f t="shared" si="7"/>
        <v>0.30977001668136461</v>
      </c>
      <c r="H29" s="11">
        <f t="shared" si="7"/>
        <v>1</v>
      </c>
      <c r="I29" s="11">
        <f t="shared" si="7"/>
        <v>0.29923397665989621</v>
      </c>
      <c r="J29" s="11">
        <f t="shared" si="7"/>
        <v>0.81045733427892797</v>
      </c>
      <c r="K29" s="11">
        <f t="shared" si="7"/>
        <v>0.24234523803226979</v>
      </c>
      <c r="L29" s="11">
        <f t="shared" si="7"/>
        <v>0.68809342242878913</v>
      </c>
      <c r="M29" s="11">
        <f t="shared" si="7"/>
        <v>0.32081138053768105</v>
      </c>
      <c r="N29" s="11">
        <f t="shared" si="7"/>
        <v>0.30226279568701608</v>
      </c>
      <c r="O29" s="11">
        <f t="shared" si="7"/>
        <v>0.25027054334274274</v>
      </c>
      <c r="P29" s="11">
        <f t="shared" si="7"/>
        <v>0.11866411107947354</v>
      </c>
      <c r="Q29" s="11">
        <f t="shared" si="7"/>
        <v>0</v>
      </c>
      <c r="R29" s="11">
        <f t="shared" si="7"/>
        <v>6.4070127793333549E-3</v>
      </c>
      <c r="S29" s="11">
        <f t="shared" si="7"/>
        <v>2.2587032951653836E-2</v>
      </c>
      <c r="T29" s="11">
        <f t="shared" si="7"/>
        <v>1</v>
      </c>
      <c r="U29" s="11">
        <f t="shared" si="7"/>
        <v>3.1267399359640623E-4</v>
      </c>
    </row>
    <row r="30" spans="1:21" x14ac:dyDescent="0.3">
      <c r="A30" s="5" t="s">
        <v>28</v>
      </c>
      <c r="B30" s="11">
        <f t="shared" ref="B30:U30" si="8">(B9-B$17)/B$19</f>
        <v>0.73707526175211369</v>
      </c>
      <c r="C30" s="11">
        <f t="shared" si="8"/>
        <v>1</v>
      </c>
      <c r="D30" s="11">
        <f t="shared" si="8"/>
        <v>0.13818161555164027</v>
      </c>
      <c r="E30" s="11">
        <f t="shared" si="8"/>
        <v>0.123327643993907</v>
      </c>
      <c r="F30" s="11">
        <f t="shared" si="8"/>
        <v>0.1981935070938057</v>
      </c>
      <c r="G30" s="11">
        <f t="shared" si="8"/>
        <v>0.18112001587320958</v>
      </c>
      <c r="H30" s="11">
        <f t="shared" si="8"/>
        <v>0.17968031014032557</v>
      </c>
      <c r="I30" s="11">
        <f t="shared" si="8"/>
        <v>0.36218478533119985</v>
      </c>
      <c r="J30" s="11">
        <f t="shared" si="8"/>
        <v>0.87825737391004077</v>
      </c>
      <c r="K30" s="11">
        <f t="shared" si="8"/>
        <v>0.93832614931839609</v>
      </c>
      <c r="L30" s="11">
        <f t="shared" si="8"/>
        <v>0.96905459805275274</v>
      </c>
      <c r="M30" s="11">
        <f t="shared" si="8"/>
        <v>0.25284459319722946</v>
      </c>
      <c r="N30" s="11">
        <f t="shared" si="8"/>
        <v>0.28609022987603838</v>
      </c>
      <c r="O30" s="11">
        <f t="shared" si="8"/>
        <v>0.22312826686145296</v>
      </c>
      <c r="P30" s="11">
        <f t="shared" si="8"/>
        <v>0.15821824209300192</v>
      </c>
      <c r="Q30" s="11">
        <f t="shared" si="8"/>
        <v>0.46028826417447366</v>
      </c>
      <c r="R30" s="11">
        <f t="shared" si="8"/>
        <v>0.63273197114099067</v>
      </c>
      <c r="S30" s="11">
        <f t="shared" si="8"/>
        <v>5.5047296666863782E-2</v>
      </c>
      <c r="T30" s="11">
        <f t="shared" si="8"/>
        <v>0.25979385199795729</v>
      </c>
      <c r="U30" s="11">
        <f t="shared" si="8"/>
        <v>0.19618216926497342</v>
      </c>
    </row>
    <row r="31" spans="1:21" x14ac:dyDescent="0.3">
      <c r="A31" s="1" t="s">
        <v>29</v>
      </c>
      <c r="B31" s="11">
        <f t="shared" ref="B31:U31" si="9">(B10-B$17)/B$19</f>
        <v>0.49936834627956128</v>
      </c>
      <c r="C31" s="11">
        <f t="shared" si="9"/>
        <v>0.52669827183981577</v>
      </c>
      <c r="D31" s="11">
        <f t="shared" si="9"/>
        <v>0.13369205064261797</v>
      </c>
      <c r="E31" s="11">
        <f t="shared" si="9"/>
        <v>6.1594711712853037E-2</v>
      </c>
      <c r="F31" s="11">
        <f t="shared" si="9"/>
        <v>0.86189812980808334</v>
      </c>
      <c r="G31" s="11">
        <f t="shared" si="9"/>
        <v>0.32831920409850057</v>
      </c>
      <c r="H31" s="11">
        <f t="shared" si="9"/>
        <v>0.91731288704342184</v>
      </c>
      <c r="I31" s="11">
        <f t="shared" si="9"/>
        <v>0.15620051444471345</v>
      </c>
      <c r="J31" s="11">
        <f t="shared" si="9"/>
        <v>0.99965172390531987</v>
      </c>
      <c r="K31" s="11">
        <f t="shared" si="9"/>
        <v>0.87708795576355514</v>
      </c>
      <c r="L31" s="11">
        <f t="shared" si="9"/>
        <v>0.90514767366309024</v>
      </c>
      <c r="M31" s="11">
        <f t="shared" si="9"/>
        <v>0.46345534761614088</v>
      </c>
      <c r="N31" s="11">
        <f t="shared" si="9"/>
        <v>0.37216312086978548</v>
      </c>
      <c r="O31" s="11">
        <f t="shared" si="9"/>
        <v>0.46803986637087469</v>
      </c>
      <c r="P31" s="11">
        <f t="shared" si="9"/>
        <v>0.1012535140496169</v>
      </c>
      <c r="Q31" s="11">
        <f t="shared" si="9"/>
        <v>0.85413681459583868</v>
      </c>
      <c r="R31" s="11">
        <f t="shared" si="9"/>
        <v>0.37283574678150694</v>
      </c>
      <c r="S31" s="11">
        <f t="shared" si="9"/>
        <v>3.6913149653897037E-3</v>
      </c>
      <c r="T31" s="11">
        <f t="shared" si="9"/>
        <v>6.8439502375498756E-2</v>
      </c>
      <c r="U31" s="11">
        <f t="shared" si="9"/>
        <v>0.39935301806207207</v>
      </c>
    </row>
    <row r="32" spans="1:21" x14ac:dyDescent="0.3">
      <c r="A32" s="5" t="s">
        <v>30</v>
      </c>
      <c r="B32" s="11">
        <f t="shared" ref="B32:U32" si="10">(B11-B$17)/B$19</f>
        <v>0.1765914397890751</v>
      </c>
      <c r="C32" s="11">
        <f t="shared" si="10"/>
        <v>3.1427819411936495E-2</v>
      </c>
      <c r="D32" s="11">
        <f t="shared" si="10"/>
        <v>0.12321046242013119</v>
      </c>
      <c r="E32" s="11">
        <f t="shared" si="10"/>
        <v>9.5600484986369541E-2</v>
      </c>
      <c r="F32" s="11">
        <f t="shared" si="10"/>
        <v>0.2196243928449117</v>
      </c>
      <c r="G32" s="11">
        <f t="shared" si="10"/>
        <v>0</v>
      </c>
      <c r="H32" s="11">
        <f t="shared" si="10"/>
        <v>0.51982181240622927</v>
      </c>
      <c r="I32" s="11">
        <f t="shared" si="10"/>
        <v>0.34018482218002499</v>
      </c>
      <c r="J32" s="11">
        <f t="shared" si="10"/>
        <v>0.9804273724909961</v>
      </c>
      <c r="K32" s="11">
        <f t="shared" si="10"/>
        <v>0.98761774612812792</v>
      </c>
      <c r="L32" s="11">
        <f t="shared" si="10"/>
        <v>1</v>
      </c>
      <c r="M32" s="11">
        <f t="shared" si="10"/>
        <v>0.51924583837414406</v>
      </c>
      <c r="N32" s="11">
        <f t="shared" si="10"/>
        <v>0.19630970984472096</v>
      </c>
      <c r="O32" s="11">
        <f t="shared" si="10"/>
        <v>0.10629533406824947</v>
      </c>
      <c r="P32" s="11">
        <f t="shared" si="10"/>
        <v>0.18075708301099724</v>
      </c>
      <c r="Q32" s="11">
        <f t="shared" si="10"/>
        <v>0.477005053481032</v>
      </c>
      <c r="R32" s="11">
        <f t="shared" si="10"/>
        <v>0.9762266339992931</v>
      </c>
      <c r="S32" s="11">
        <f t="shared" si="10"/>
        <v>1.6125308328467695E-2</v>
      </c>
      <c r="T32" s="11">
        <f t="shared" si="10"/>
        <v>0</v>
      </c>
      <c r="U32" s="11">
        <f t="shared" si="10"/>
        <v>0.6642825052295287</v>
      </c>
    </row>
    <row r="33" spans="1:21" ht="15" thickBot="1" x14ac:dyDescent="0.35"/>
    <row r="34" spans="1:21" x14ac:dyDescent="0.3">
      <c r="A34" s="6" t="s">
        <v>36</v>
      </c>
      <c r="B34" s="13">
        <f>AVERAGE(Table20[best_pearson_r])</f>
        <v>0.46786915898310877</v>
      </c>
      <c r="C34" s="12">
        <f>AVERAGE(Table20[best_difference_vector_r])</f>
        <v>0.44829477238661192</v>
      </c>
      <c r="D34" s="12">
        <f>AVERAGE(Table20[seed_a_e])</f>
        <v>0.32103436798802526</v>
      </c>
      <c r="E34" s="12">
        <f>AVERAGE(Table20[seed_b_e])</f>
        <v>0.14437636904358978</v>
      </c>
      <c r="F34" s="12">
        <f>AVERAGE(Table20[seed_d_e])</f>
        <v>0.48719516927250484</v>
      </c>
      <c r="G34" s="12">
        <f>AVERAGE(Table20[seed_c_I_sst])</f>
        <v>0.47350595599333944</v>
      </c>
      <c r="H34" s="12">
        <f>AVERAGE(Table20[seed_c_I_vip])</f>
        <v>0.42242313874217918</v>
      </c>
      <c r="I34" s="12">
        <f>AVERAGE(Table20[seed_c_I_pv])</f>
        <v>0.35292663924303491</v>
      </c>
      <c r="J34" s="12">
        <f>AVERAGE(Table20[seed_r_0_sst])</f>
        <v>0.71607552319008816</v>
      </c>
      <c r="K34" s="12">
        <f>AVERAGE(Table20[seed_r_0_vip])</f>
        <v>0.62954758687720125</v>
      </c>
      <c r="L34" s="12">
        <f>AVERAGE(Table20[seed_r_0_pv])</f>
        <v>0.6952511628060396</v>
      </c>
      <c r="M34" s="12">
        <f>AVERAGE(Table20[I_background_e])</f>
        <v>0.48613073434543752</v>
      </c>
      <c r="N34" s="12">
        <f>AVERAGE(Table20[I_background_i])</f>
        <v>0.36224166218753212</v>
      </c>
      <c r="O34" s="12">
        <f>AVERAGE(Table20[I_background_dend])</f>
        <v>0.42449870322112959</v>
      </c>
      <c r="P34" s="12">
        <f>AVERAGE(Table20[mu_ee])</f>
        <v>0.19885854301537748</v>
      </c>
      <c r="Q34" s="12">
        <f>AVERAGE(Table20[mu_ie])</f>
        <v>0.6202282172407052</v>
      </c>
      <c r="R34" s="12">
        <f>AVERAGE(Table20[e_grad_min])</f>
        <v>0.4704210436782546</v>
      </c>
      <c r="S34" s="12">
        <f>AVERAGE(Table20[balloon_kappa])</f>
        <v>0.11032728135995713</v>
      </c>
      <c r="T34" s="12">
        <f>AVERAGE(Table20[balloon_gamma])</f>
        <v>0.39881390436283282</v>
      </c>
      <c r="U34" s="12">
        <f>AVERAGE(Table20[balloon_tau])</f>
        <v>0.44469123975750807</v>
      </c>
    </row>
    <row r="35" spans="1:21" x14ac:dyDescent="0.3">
      <c r="A35" s="3" t="s">
        <v>37</v>
      </c>
      <c r="B35" s="13">
        <f>_xlfn.STDEV.P(Table20[best_pearson_r])</f>
        <v>0.31185166689899968</v>
      </c>
      <c r="C35" s="12">
        <f>_xlfn.STDEV.P(Table20[best_difference_vector_r])</f>
        <v>0.31047011490723919</v>
      </c>
      <c r="D35" s="12">
        <f>_xlfn.STDEV.P(Table20[seed_a_e])</f>
        <v>0.36905633006978666</v>
      </c>
      <c r="E35" s="12">
        <f>_xlfn.STDEV.P(Table20[seed_b_e])</f>
        <v>0.28769574624647815</v>
      </c>
      <c r="F35" s="12">
        <f>_xlfn.STDEV.P(Table20[seed_d_e])</f>
        <v>0.37063016368807256</v>
      </c>
      <c r="G35" s="12">
        <f>_xlfn.STDEV.P(Table20[seed_c_I_sst])</f>
        <v>0.27233046221201829</v>
      </c>
      <c r="H35" s="12">
        <f>_xlfn.STDEV.P(Table20[seed_c_I_vip])</f>
        <v>0.3216954267226893</v>
      </c>
      <c r="I35" s="12">
        <f>_xlfn.STDEV.P(Table20[seed_c_I_pv])</f>
        <v>0.28973024328129932</v>
      </c>
      <c r="J35" s="12">
        <f>_xlfn.STDEV.P(Table20[seed_r_0_sst])</f>
        <v>0.29960853587399139</v>
      </c>
      <c r="K35" s="12">
        <f>_xlfn.STDEV.P(Table20[seed_r_0_vip])</f>
        <v>0.36658164059238313</v>
      </c>
      <c r="L35" s="12">
        <f>_xlfn.STDEV.P(Table20[seed_r_0_pv])</f>
        <v>0.30493634482084403</v>
      </c>
      <c r="M35" s="12">
        <f>_xlfn.STDEV.P(Table20[I_background_e])</f>
        <v>0.25743652675776024</v>
      </c>
      <c r="N35" s="12">
        <f>_xlfn.STDEV.P(Table20[I_background_i])</f>
        <v>0.28070451572526506</v>
      </c>
      <c r="O35" s="12">
        <f>_xlfn.STDEV.P(Table20[I_background_dend])</f>
        <v>0.2952657527241544</v>
      </c>
      <c r="P35" s="12">
        <f>_xlfn.STDEV.P(Table20[mu_ee])</f>
        <v>0.27662544711168008</v>
      </c>
      <c r="Q35" s="12">
        <f>_xlfn.STDEV.P(Table20[mu_ie])</f>
        <v>0.34010877627113539</v>
      </c>
      <c r="R35" s="12">
        <f>_xlfn.STDEV.P(Table20[e_grad_min])</f>
        <v>0.38927622331744771</v>
      </c>
      <c r="S35" s="12">
        <f>_xlfn.STDEV.P(Table20[balloon_kappa])</f>
        <v>0.29700430430749208</v>
      </c>
      <c r="T35" s="12">
        <f>_xlfn.STDEV.P(Table20[balloon_gamma])</f>
        <v>0.3872297241166594</v>
      </c>
      <c r="U35" s="12">
        <f>_xlfn.STDEV.P(Table20[balloon_tau])</f>
        <v>0.29356112226284808</v>
      </c>
    </row>
    <row r="36" spans="1:21" ht="15" thickBot="1" x14ac:dyDescent="0.35">
      <c r="A36" s="7" t="s">
        <v>38</v>
      </c>
      <c r="B36" s="13">
        <f>VAR(Table20[best_pearson_r])</f>
        <v>0.10805718016409409</v>
      </c>
      <c r="C36" s="12">
        <f>VAR(Table20[best_difference_vector_r])</f>
        <v>0.10710188027834928</v>
      </c>
      <c r="D36" s="12">
        <f>VAR(Table20[seed_a_e])</f>
        <v>0.15133619418286587</v>
      </c>
      <c r="E36" s="12">
        <f>VAR(Table20[seed_b_e])</f>
        <v>9.1965380453686629E-2</v>
      </c>
      <c r="F36" s="12">
        <f>VAR(Table20[seed_d_e])</f>
        <v>0.15262968692827494</v>
      </c>
      <c r="G36" s="12">
        <f>VAR(Table20[seed_c_I_sst])</f>
        <v>8.2404311831790589E-2</v>
      </c>
      <c r="H36" s="12">
        <f>VAR(Table20[seed_c_I_vip])</f>
        <v>0.11498660841588132</v>
      </c>
      <c r="I36" s="12">
        <f>VAR(Table20[seed_c_I_pv])</f>
        <v>9.3270682079823197E-2</v>
      </c>
      <c r="J36" s="12">
        <f>VAR(Table20[seed_r_0_sst])</f>
        <v>9.9739194187285288E-2</v>
      </c>
      <c r="K36" s="12">
        <f>VAR(Table20[seed_r_0_vip])</f>
        <v>0.14931344357711465</v>
      </c>
      <c r="L36" s="12">
        <f>VAR(Table20[seed_r_0_pv])</f>
        <v>0.10331797154744077</v>
      </c>
      <c r="M36" s="12">
        <f>VAR(Table20[I_background_e])</f>
        <v>7.3637294787887803E-2</v>
      </c>
      <c r="N36" s="12">
        <f>VAR(Table20[I_background_i])</f>
        <v>8.7550027942839545E-2</v>
      </c>
      <c r="O36" s="12">
        <f>VAR(Table20[I_background_dend])</f>
        <v>9.6868738590846118E-2</v>
      </c>
      <c r="P36" s="12">
        <f>VAR(Table20[mu_ee])</f>
        <v>8.5024042210818773E-2</v>
      </c>
      <c r="Q36" s="12">
        <f>VAR(Table20[mu_ie])</f>
        <v>0.12852664410738798</v>
      </c>
      <c r="R36" s="12">
        <f>VAR(Table20[e_grad_min])</f>
        <v>0.16837330893366159</v>
      </c>
      <c r="S36" s="12">
        <f>VAR(Table20[balloon_kappa])</f>
        <v>9.8012840863530404E-2</v>
      </c>
      <c r="T36" s="12">
        <f>VAR(Table20[balloon_gamma])</f>
        <v>0.16660762137718238</v>
      </c>
      <c r="U36" s="12">
        <f>VAR(Table20[balloon_tau])</f>
        <v>9.57534805602476E-2</v>
      </c>
    </row>
    <row r="43" spans="1:21" ht="15" thickBot="1" x14ac:dyDescent="0.35"/>
    <row r="44" spans="1:21" ht="15" thickBot="1" x14ac:dyDescent="0.35">
      <c r="A44" s="27" t="s">
        <v>40</v>
      </c>
    </row>
    <row r="45" spans="1:21" ht="15" thickBot="1" x14ac:dyDescent="0.35">
      <c r="A45" s="30" t="s">
        <v>50</v>
      </c>
      <c r="B45" s="28" t="s">
        <v>41</v>
      </c>
      <c r="C45" s="20" t="s">
        <v>42</v>
      </c>
      <c r="D45" s="20" t="s">
        <v>43</v>
      </c>
      <c r="E45" s="20" t="s">
        <v>44</v>
      </c>
      <c r="F45" s="20" t="s">
        <v>45</v>
      </c>
      <c r="G45" s="20" t="s">
        <v>46</v>
      </c>
      <c r="H45" s="20" t="s">
        <v>47</v>
      </c>
      <c r="I45" s="20" t="s">
        <v>48</v>
      </c>
      <c r="J45" s="21" t="s">
        <v>49</v>
      </c>
    </row>
    <row r="46" spans="1:21" ht="15" thickBot="1" x14ac:dyDescent="0.35">
      <c r="A46" s="31" t="s">
        <v>51</v>
      </c>
      <c r="B46" s="29">
        <v>0.13500000000000001</v>
      </c>
      <c r="C46" s="22">
        <v>54</v>
      </c>
      <c r="D46" s="22">
        <v>0.308</v>
      </c>
      <c r="E46" s="22">
        <v>132</v>
      </c>
      <c r="F46" s="22">
        <v>132</v>
      </c>
      <c r="G46" s="22">
        <v>330</v>
      </c>
      <c r="H46" s="22">
        <v>-33</v>
      </c>
      <c r="I46" s="22">
        <v>-33</v>
      </c>
      <c r="J46" s="22">
        <v>-95</v>
      </c>
    </row>
    <row r="48" spans="1:21" ht="15" thickBot="1" x14ac:dyDescent="0.35"/>
    <row r="49" spans="1:25" ht="15" thickBot="1" x14ac:dyDescent="0.35">
      <c r="A49" s="14" t="s">
        <v>57</v>
      </c>
      <c r="N49" s="14" t="s">
        <v>56</v>
      </c>
    </row>
    <row r="50" spans="1:25" x14ac:dyDescent="0.3">
      <c r="A50" s="8" t="s">
        <v>31</v>
      </c>
      <c r="B50" s="8" t="s">
        <v>0</v>
      </c>
      <c r="C50" s="8" t="s">
        <v>1</v>
      </c>
      <c r="D50" s="8" t="s">
        <v>2</v>
      </c>
      <c r="E50" s="8" t="s">
        <v>3</v>
      </c>
      <c r="F50" s="8" t="s">
        <v>4</v>
      </c>
      <c r="G50" s="8" t="s">
        <v>5</v>
      </c>
      <c r="H50" s="8" t="s">
        <v>6</v>
      </c>
      <c r="I50" s="8" t="s">
        <v>7</v>
      </c>
      <c r="J50" s="8" t="s">
        <v>8</v>
      </c>
      <c r="K50" s="8" t="s">
        <v>20</v>
      </c>
      <c r="L50" s="8" t="s">
        <v>19</v>
      </c>
      <c r="N50" t="s">
        <v>18</v>
      </c>
      <c r="O50" t="s">
        <v>0</v>
      </c>
      <c r="P50" t="s">
        <v>1</v>
      </c>
      <c r="Q50" t="s">
        <v>2</v>
      </c>
      <c r="R50" t="s">
        <v>3</v>
      </c>
      <c r="S50" t="s">
        <v>4</v>
      </c>
      <c r="T50" t="s">
        <v>5</v>
      </c>
      <c r="U50" t="s">
        <v>6</v>
      </c>
      <c r="V50" t="s">
        <v>7</v>
      </c>
      <c r="W50" t="s">
        <v>8</v>
      </c>
      <c r="X50" t="s">
        <v>20</v>
      </c>
      <c r="Y50" t="s">
        <v>19</v>
      </c>
    </row>
    <row r="51" spans="1:25" x14ac:dyDescent="0.3">
      <c r="A51" s="1" t="s">
        <v>21</v>
      </c>
      <c r="B51" s="10">
        <f t="shared" ref="B51" si="11">D2/B$46</f>
        <v>5.136353588698177</v>
      </c>
      <c r="C51" s="10">
        <f t="shared" ref="C51" si="12">E2/C$46</f>
        <v>2.1372624292230372E-2</v>
      </c>
      <c r="D51" s="10">
        <f t="shared" ref="D51" si="13">F2/D$46</f>
        <v>3.2476586450870135E-2</v>
      </c>
      <c r="E51" s="10">
        <f t="shared" ref="E51" si="14">G2/E$46</f>
        <v>2.4050276860203788</v>
      </c>
      <c r="F51" s="10">
        <f t="shared" ref="F51" si="15">H2/F$46</f>
        <v>1.1356740435145909</v>
      </c>
      <c r="G51" s="10">
        <f t="shared" ref="G51" si="16">I2/G$46</f>
        <v>2.4242406348355998</v>
      </c>
      <c r="H51" s="10">
        <f t="shared" ref="H51" si="17">J2/H$46</f>
        <v>5.1169784628617572E-6</v>
      </c>
      <c r="I51" s="10">
        <f t="shared" ref="I51" si="18">K2/I$46</f>
        <v>4.9549341788743941</v>
      </c>
      <c r="J51" s="10">
        <f t="shared" ref="J51" si="19">L2/J$46</f>
        <v>2.7454191258149159</v>
      </c>
      <c r="K51" s="10">
        <v>0.712406808509643</v>
      </c>
      <c r="L51" s="10">
        <v>0.52304667728695398</v>
      </c>
      <c r="N51" t="s">
        <v>21</v>
      </c>
      <c r="O51" s="10">
        <f>Table23[[#This Row],[seed_a_e]]</f>
        <v>5.136353588698177</v>
      </c>
      <c r="P51" s="10">
        <f>Table23[[#This Row],[seed_b_e]]</f>
        <v>2.1372624292230372E-2</v>
      </c>
      <c r="Q51" s="10">
        <f>Table23[[#This Row],[seed_d_e]]</f>
        <v>3.2476586450870135E-2</v>
      </c>
      <c r="R51" s="10">
        <f>Table23[[#This Row],[seed_c_I_sst]]</f>
        <v>2.4050276860203788</v>
      </c>
      <c r="S51" s="10">
        <f>Table23[[#This Row],[seed_c_I_vip]]</f>
        <v>1.1356740435145909</v>
      </c>
      <c r="T51" s="10">
        <f>Table23[[#This Row],[seed_c_I_pv]]</f>
        <v>2.4242406348355998</v>
      </c>
      <c r="U51" s="10">
        <f>Table23[[#This Row],[seed_r_0_sst]]</f>
        <v>5.1169784628617572E-6</v>
      </c>
      <c r="V51" s="10">
        <f>Table23[[#This Row],[seed_r_0_vip]]</f>
        <v>4.9549341788743941</v>
      </c>
      <c r="W51" s="10">
        <f>Table23[[#This Row],[seed_r_0_pv]]</f>
        <v>2.7454191258149159</v>
      </c>
      <c r="X51" s="10">
        <v>0.712406808509643</v>
      </c>
      <c r="Y51" s="10">
        <v>0.52304667728695398</v>
      </c>
    </row>
    <row r="52" spans="1:25" x14ac:dyDescent="0.3">
      <c r="A52" s="5" t="s">
        <v>22</v>
      </c>
      <c r="B52" s="10">
        <f t="shared" ref="B52:B60" si="20">D3/B$46</f>
        <v>6.6666654501849774</v>
      </c>
      <c r="C52" s="10">
        <f t="shared" ref="C52:C60" si="21">E3/C$46</f>
        <v>2.2649829213040925E-2</v>
      </c>
      <c r="D52" s="10">
        <f t="shared" ref="D52:D60" si="22">F3/D$46</f>
        <v>0.87213008378552925</v>
      </c>
      <c r="E52" s="10">
        <f t="shared" ref="E52:E60" si="23">G3/E$46</f>
        <v>3.7875008144670077</v>
      </c>
      <c r="F52" s="10">
        <f t="shared" ref="F52:F60" si="24">H3/F$46</f>
        <v>1.4466930831289393</v>
      </c>
      <c r="G52" s="10">
        <f t="shared" ref="G52:G60" si="25">I3/G$46</f>
        <v>0.10488924084422303</v>
      </c>
      <c r="H52" s="10">
        <f t="shared" ref="H52:H60" si="26">J3/H$46</f>
        <v>4.7895685029752118</v>
      </c>
      <c r="I52" s="10">
        <f t="shared" ref="I52:I60" si="27">K3/I$46</f>
        <v>4.6547280582669694</v>
      </c>
      <c r="J52" s="10">
        <f t="shared" ref="J52:J60" si="28">L3/J$46</f>
        <v>2.3268178196794103</v>
      </c>
      <c r="K52" s="10">
        <v>0.48840316014479601</v>
      </c>
      <c r="L52" s="10">
        <v>0.495336580378823</v>
      </c>
      <c r="N52" t="s">
        <v>22</v>
      </c>
      <c r="O52" s="10">
        <f>Table23[[#This Row],[seed_a_e]]</f>
        <v>6.6666654501849774</v>
      </c>
      <c r="P52" s="10">
        <f>Table23[[#This Row],[seed_b_e]]</f>
        <v>2.2649829213040925E-2</v>
      </c>
      <c r="Q52" s="10">
        <f>Table23[[#This Row],[seed_d_e]]</f>
        <v>0.87213008378552925</v>
      </c>
      <c r="R52" s="10">
        <f>Table23[[#This Row],[seed_c_I_sst]]</f>
        <v>3.7875008144670077</v>
      </c>
      <c r="S52" s="10">
        <f>Table23[[#This Row],[seed_c_I_vip]]</f>
        <v>1.4466930831289393</v>
      </c>
      <c r="T52" s="10">
        <f>Table23[[#This Row],[seed_c_I_pv]]</f>
        <v>0.10488924084422303</v>
      </c>
      <c r="U52" s="10">
        <f>Table23[[#This Row],[seed_r_0_sst]]</f>
        <v>4.7895685029752118</v>
      </c>
      <c r="V52" s="10">
        <f>Table23[[#This Row],[seed_r_0_vip]]</f>
        <v>4.6547280582669694</v>
      </c>
      <c r="W52" s="10">
        <f>Table23[[#This Row],[seed_r_0_pv]]</f>
        <v>2.3268178196794103</v>
      </c>
      <c r="X52" s="10">
        <v>0.48840316014479601</v>
      </c>
      <c r="Y52" s="10">
        <v>0.495336580378823</v>
      </c>
    </row>
    <row r="53" spans="1:25" x14ac:dyDescent="0.3">
      <c r="A53" s="1" t="s">
        <v>23</v>
      </c>
      <c r="B53" s="10">
        <f t="shared" si="20"/>
        <v>0.24614097699509477</v>
      </c>
      <c r="C53" s="10">
        <f t="shared" si="21"/>
        <v>0.44355574771241485</v>
      </c>
      <c r="D53" s="10">
        <f t="shared" si="22"/>
        <v>1.7777565032591365</v>
      </c>
      <c r="E53" s="10">
        <f t="shared" si="23"/>
        <v>2.100430109617939</v>
      </c>
      <c r="F53" s="10">
        <f t="shared" si="24"/>
        <v>0.50305750748477429</v>
      </c>
      <c r="G53" s="10">
        <f t="shared" si="25"/>
        <v>0.429948428475394</v>
      </c>
      <c r="H53" s="10">
        <f t="shared" si="26"/>
        <v>2.3125222824429605</v>
      </c>
      <c r="I53" s="10">
        <f t="shared" si="27"/>
        <v>1.9100151513871</v>
      </c>
      <c r="J53" s="10">
        <f t="shared" si="28"/>
        <v>1.3170660895911894</v>
      </c>
      <c r="K53" s="10">
        <v>0.59089730657681105</v>
      </c>
      <c r="L53" s="10">
        <v>0.58339645238371796</v>
      </c>
      <c r="N53" t="s">
        <v>23</v>
      </c>
      <c r="O53" s="10">
        <f>Table23[[#This Row],[seed_a_e]]</f>
        <v>0.24614097699509477</v>
      </c>
      <c r="P53" s="10">
        <f>Table23[[#This Row],[seed_b_e]]</f>
        <v>0.44355574771241485</v>
      </c>
      <c r="Q53" s="10">
        <f>Table23[[#This Row],[seed_d_e]]</f>
        <v>1.7777565032591365</v>
      </c>
      <c r="R53" s="10">
        <f>Table23[[#This Row],[seed_c_I_sst]]</f>
        <v>2.100430109617939</v>
      </c>
      <c r="S53" s="10">
        <f>Table23[[#This Row],[seed_c_I_vip]]</f>
        <v>0.50305750748477429</v>
      </c>
      <c r="T53" s="10">
        <f>Table23[[#This Row],[seed_c_I_pv]]</f>
        <v>0.429948428475394</v>
      </c>
      <c r="U53" s="10">
        <f>Table23[[#This Row],[seed_r_0_sst]]</f>
        <v>2.3125222824429605</v>
      </c>
      <c r="V53" s="10">
        <f>Table23[[#This Row],[seed_r_0_vip]]</f>
        <v>1.9100151513871</v>
      </c>
      <c r="W53" s="10">
        <f>Table23[[#This Row],[seed_r_0_pv]]</f>
        <v>1.3170660895911894</v>
      </c>
      <c r="X53" s="10">
        <v>0.59089730657681105</v>
      </c>
      <c r="Y53" s="10">
        <v>0.58339645238371796</v>
      </c>
    </row>
    <row r="54" spans="1:25" x14ac:dyDescent="0.3">
      <c r="A54" s="5" t="s">
        <v>24</v>
      </c>
      <c r="B54" s="10">
        <f t="shared" si="20"/>
        <v>0.62976920232325329</v>
      </c>
      <c r="C54" s="10">
        <f t="shared" si="21"/>
        <v>0.4778905405530352</v>
      </c>
      <c r="D54" s="10">
        <f t="shared" si="22"/>
        <v>6.8127597687125654</v>
      </c>
      <c r="E54" s="10">
        <f t="shared" si="23"/>
        <v>2.646845406413235</v>
      </c>
      <c r="F54" s="10">
        <f t="shared" si="24"/>
        <v>2.2058268320167196</v>
      </c>
      <c r="G54" s="10">
        <f t="shared" si="25"/>
        <v>1.2944166375711514</v>
      </c>
      <c r="H54" s="10">
        <f t="shared" si="26"/>
        <v>4.1151522108960599</v>
      </c>
      <c r="I54" s="10">
        <f t="shared" si="27"/>
        <v>0.70773370433432425</v>
      </c>
      <c r="J54" s="10">
        <f t="shared" si="28"/>
        <v>1.0777545971829789</v>
      </c>
      <c r="K54" s="10">
        <v>0.67887988874580396</v>
      </c>
      <c r="L54" s="10">
        <v>0.39443555162616101</v>
      </c>
      <c r="N54" t="s">
        <v>24</v>
      </c>
      <c r="O54" s="10">
        <f>Table23[[#This Row],[seed_a_e]]</f>
        <v>0.62976920232325329</v>
      </c>
      <c r="P54" s="10">
        <f>Table23[[#This Row],[seed_b_e]]</f>
        <v>0.4778905405530352</v>
      </c>
      <c r="Q54" s="10">
        <f>Table23[[#This Row],[seed_d_e]]</f>
        <v>6.8127597687125654</v>
      </c>
      <c r="R54" s="10">
        <f>Table23[[#This Row],[seed_c_I_sst]]</f>
        <v>2.646845406413235</v>
      </c>
      <c r="S54" s="10">
        <f>Table23[[#This Row],[seed_c_I_vip]]</f>
        <v>2.2058268320167196</v>
      </c>
      <c r="T54" s="10">
        <f>Table23[[#This Row],[seed_c_I_pv]]</f>
        <v>1.2944166375711514</v>
      </c>
      <c r="U54" s="10">
        <f>Table23[[#This Row],[seed_r_0_sst]]</f>
        <v>4.1151522108960599</v>
      </c>
      <c r="V54" s="10">
        <f>Table23[[#This Row],[seed_r_0_vip]]</f>
        <v>0.70773370433432425</v>
      </c>
      <c r="W54" s="10">
        <f>Table23[[#This Row],[seed_r_0_pv]]</f>
        <v>1.0777545971829789</v>
      </c>
      <c r="X54" s="10">
        <v>0.67887988874580396</v>
      </c>
      <c r="Y54" s="10">
        <v>0.39443555162616101</v>
      </c>
    </row>
    <row r="55" spans="1:25" x14ac:dyDescent="0.3">
      <c r="A55" s="1" t="s">
        <v>25</v>
      </c>
      <c r="B55" s="10">
        <f t="shared" si="20"/>
        <v>0.67229973833509626</v>
      </c>
      <c r="C55" s="10">
        <f t="shared" si="21"/>
        <v>0.54655975568782778</v>
      </c>
      <c r="D55" s="10">
        <f t="shared" si="22"/>
        <v>9.7184412088293843</v>
      </c>
      <c r="E55" s="10">
        <f t="shared" si="23"/>
        <v>2.0253211144170984</v>
      </c>
      <c r="F55" s="10">
        <f t="shared" si="24"/>
        <v>1.8194787986720302</v>
      </c>
      <c r="G55" s="10">
        <f t="shared" si="25"/>
        <v>1.6404089536176303</v>
      </c>
      <c r="H55" s="10">
        <f t="shared" si="26"/>
        <v>1.7572557994867364</v>
      </c>
      <c r="I55" s="10">
        <f t="shared" si="27"/>
        <v>2.4098051182930726</v>
      </c>
      <c r="J55" s="10">
        <f t="shared" si="28"/>
        <v>1.9063233320153581</v>
      </c>
      <c r="K55" s="10">
        <v>0.51157923348573597</v>
      </c>
      <c r="L55" s="10">
        <v>0.59310751110297899</v>
      </c>
      <c r="N55" t="s">
        <v>25</v>
      </c>
      <c r="O55" s="10">
        <f>Table23[[#This Row],[seed_a_e]]</f>
        <v>0.67229973833509626</v>
      </c>
      <c r="P55" s="10">
        <f>Table23[[#This Row],[seed_b_e]]</f>
        <v>0.54655975568782778</v>
      </c>
      <c r="Q55" s="10">
        <f>Table23[[#This Row],[seed_d_e]]</f>
        <v>9.7184412088293843</v>
      </c>
      <c r="R55" s="10">
        <f>Table23[[#This Row],[seed_c_I_sst]]</f>
        <v>2.0253211144170984</v>
      </c>
      <c r="S55" s="10">
        <f>Table23[[#This Row],[seed_c_I_vip]]</f>
        <v>1.8194787986720302</v>
      </c>
      <c r="T55" s="10">
        <f>Table23[[#This Row],[seed_c_I_pv]]</f>
        <v>1.6404089536176303</v>
      </c>
      <c r="U55" s="10">
        <f>Table23[[#This Row],[seed_r_0_sst]]</f>
        <v>1.7572557994867364</v>
      </c>
      <c r="V55" s="10">
        <f>Table23[[#This Row],[seed_r_0_vip]]</f>
        <v>2.4098051182930726</v>
      </c>
      <c r="W55" s="10">
        <f>Table23[[#This Row],[seed_r_0_pv]]</f>
        <v>1.9063233320153581</v>
      </c>
      <c r="X55" s="10">
        <v>0.51157923348573597</v>
      </c>
      <c r="Y55" s="10">
        <v>0.59310751110297899</v>
      </c>
    </row>
    <row r="56" spans="1:25" x14ac:dyDescent="0.3">
      <c r="A56" s="5" t="s">
        <v>26</v>
      </c>
      <c r="B56" s="10">
        <f t="shared" si="20"/>
        <v>5.7409348799424293</v>
      </c>
      <c r="C56" s="10">
        <f t="shared" si="21"/>
        <v>9.1824536384790552</v>
      </c>
      <c r="D56" s="10">
        <f t="shared" si="22"/>
        <v>9.6634976631500322</v>
      </c>
      <c r="E56" s="10">
        <f t="shared" si="23"/>
        <v>2.8691731741294775</v>
      </c>
      <c r="F56" s="10">
        <f t="shared" si="24"/>
        <v>0.36971147079371214</v>
      </c>
      <c r="G56" s="10">
        <f t="shared" si="25"/>
        <v>0.23568592667802335</v>
      </c>
      <c r="H56" s="10">
        <f t="shared" si="26"/>
        <v>8.603550518865454</v>
      </c>
      <c r="I56" s="10">
        <f t="shared" si="27"/>
        <v>1.288567783370012</v>
      </c>
      <c r="J56" s="10">
        <f t="shared" si="28"/>
        <v>3.8155626130213998</v>
      </c>
      <c r="K56" s="10">
        <v>0.61136346201208103</v>
      </c>
      <c r="L56" s="10">
        <v>0.46257299662969398</v>
      </c>
      <c r="N56" t="s">
        <v>26</v>
      </c>
      <c r="O56" s="10">
        <f>Table23[[#This Row],[seed_a_e]]</f>
        <v>5.7409348799424293</v>
      </c>
      <c r="P56" s="10">
        <f>Table23[[#This Row],[seed_b_e]]</f>
        <v>9.1824536384790552</v>
      </c>
      <c r="Q56" s="10">
        <f>Table23[[#This Row],[seed_d_e]]</f>
        <v>9.6634976631500322</v>
      </c>
      <c r="R56" s="10">
        <f>Table23[[#This Row],[seed_c_I_sst]]</f>
        <v>2.8691731741294775</v>
      </c>
      <c r="S56" s="10">
        <f>Table23[[#This Row],[seed_c_I_vip]]</f>
        <v>0.36971147079371214</v>
      </c>
      <c r="T56" s="10">
        <f>Table23[[#This Row],[seed_c_I_pv]]</f>
        <v>0.23568592667802335</v>
      </c>
      <c r="U56" s="10">
        <f>Table23[[#This Row],[seed_r_0_sst]]</f>
        <v>8.603550518865454</v>
      </c>
      <c r="V56" s="10">
        <f>Table23[[#This Row],[seed_r_0_vip]]</f>
        <v>1.288567783370012</v>
      </c>
      <c r="W56" s="10">
        <f>Table23[[#This Row],[seed_r_0_pv]]</f>
        <v>3.8155626130213998</v>
      </c>
      <c r="X56" s="10">
        <v>0.61136346201208103</v>
      </c>
      <c r="Y56" s="10">
        <v>0.46257299662969398</v>
      </c>
    </row>
    <row r="57" spans="1:25" x14ac:dyDescent="0.3">
      <c r="A57" s="1" t="s">
        <v>27</v>
      </c>
      <c r="B57" s="10">
        <f t="shared" si="20"/>
        <v>0.10166299513680295</v>
      </c>
      <c r="C57" s="10">
        <f t="shared" si="21"/>
        <v>0.11166989761302999</v>
      </c>
      <c r="D57" s="10">
        <f t="shared" si="22"/>
        <v>6.144541837822306</v>
      </c>
      <c r="E57" s="10">
        <f t="shared" si="23"/>
        <v>1.5054323324893637</v>
      </c>
      <c r="F57" s="10">
        <f t="shared" si="24"/>
        <v>3.6433952427274319</v>
      </c>
      <c r="G57" s="10">
        <f t="shared" si="25"/>
        <v>0.79891798173993644</v>
      </c>
      <c r="H57" s="10">
        <f t="shared" si="26"/>
        <v>1.6307440471043939</v>
      </c>
      <c r="I57" s="10">
        <f t="shared" si="27"/>
        <v>3.9256453689012116</v>
      </c>
      <c r="J57" s="10">
        <f t="shared" si="28"/>
        <v>1.8459075741842421</v>
      </c>
      <c r="K57" s="10">
        <v>0.55681124125554704</v>
      </c>
      <c r="L57" s="10">
        <v>0.35074167737220402</v>
      </c>
      <c r="N57" t="s">
        <v>27</v>
      </c>
      <c r="O57" s="10">
        <f>Table23[[#This Row],[seed_a_e]]</f>
        <v>0.10166299513680295</v>
      </c>
      <c r="P57" s="10">
        <f>Table23[[#This Row],[seed_b_e]]</f>
        <v>0.11166989761302999</v>
      </c>
      <c r="Q57" s="10">
        <f>Table23[[#This Row],[seed_d_e]]</f>
        <v>6.144541837822306</v>
      </c>
      <c r="R57" s="10">
        <f>Table23[[#This Row],[seed_c_I_sst]]</f>
        <v>1.5054323324893637</v>
      </c>
      <c r="S57" s="10">
        <f>Table23[[#This Row],[seed_c_I_vip]]</f>
        <v>3.6433952427274319</v>
      </c>
      <c r="T57" s="10">
        <f>Table23[[#This Row],[seed_c_I_pv]]</f>
        <v>0.79891798173993644</v>
      </c>
      <c r="U57" s="10">
        <f>Table23[[#This Row],[seed_r_0_sst]]</f>
        <v>1.6307440471043939</v>
      </c>
      <c r="V57" s="10">
        <f>Table23[[#This Row],[seed_r_0_vip]]</f>
        <v>3.9256453689012116</v>
      </c>
      <c r="W57" s="10">
        <f>Table23[[#This Row],[seed_r_0_pv]]</f>
        <v>1.8459075741842421</v>
      </c>
      <c r="X57" s="10">
        <v>0.55681124125554704</v>
      </c>
      <c r="Y57" s="10">
        <v>0.35074167737220402</v>
      </c>
    </row>
    <row r="58" spans="1:25" x14ac:dyDescent="0.3">
      <c r="A58" s="5" t="s">
        <v>28</v>
      </c>
      <c r="B58" s="10">
        <f t="shared" si="20"/>
        <v>1.0088256404758444</v>
      </c>
      <c r="C58" s="10">
        <f t="shared" si="21"/>
        <v>1.1511871622092036</v>
      </c>
      <c r="D58" s="10">
        <f t="shared" si="22"/>
        <v>1.9521718845465972</v>
      </c>
      <c r="E58" s="10">
        <f t="shared" si="23"/>
        <v>1.0800840874897575</v>
      </c>
      <c r="F58" s="10">
        <f t="shared" si="24"/>
        <v>0.95792798623611364</v>
      </c>
      <c r="G58" s="10">
        <f t="shared" si="25"/>
        <v>0.94492302758460911</v>
      </c>
      <c r="H58" s="10">
        <f t="shared" si="26"/>
        <v>1.0474233278883787</v>
      </c>
      <c r="I58" s="10">
        <f t="shared" si="27"/>
        <v>0.96967491221594537</v>
      </c>
      <c r="J58" s="10">
        <f t="shared" si="28"/>
        <v>1.0416612651118389</v>
      </c>
      <c r="K58" s="10">
        <v>0.65351070789674404</v>
      </c>
      <c r="L58" s="10">
        <v>0.67467449249167699</v>
      </c>
      <c r="N58" t="s">
        <v>28</v>
      </c>
      <c r="O58" s="10">
        <f>Table23[[#This Row],[seed_a_e]]</f>
        <v>1.0088256404758444</v>
      </c>
      <c r="P58" s="10">
        <f>Table23[[#This Row],[seed_b_e]]</f>
        <v>1.1511871622092036</v>
      </c>
      <c r="Q58" s="10">
        <f>Table23[[#This Row],[seed_d_e]]</f>
        <v>1.9521718845465972</v>
      </c>
      <c r="R58" s="10">
        <f>Table23[[#This Row],[seed_c_I_sst]]</f>
        <v>1.0800840874897575</v>
      </c>
      <c r="S58" s="10">
        <f>Table23[[#This Row],[seed_c_I_vip]]</f>
        <v>0.95792798623611364</v>
      </c>
      <c r="T58" s="10">
        <f>Table23[[#This Row],[seed_c_I_pv]]</f>
        <v>0.94492302758460911</v>
      </c>
      <c r="U58" s="10">
        <f>Table23[[#This Row],[seed_r_0_sst]]</f>
        <v>1.0474233278883787</v>
      </c>
      <c r="V58" s="10">
        <f>Table23[[#This Row],[seed_r_0_vip]]</f>
        <v>0.96967491221594537</v>
      </c>
      <c r="W58" s="10">
        <f>Table23[[#This Row],[seed_r_0_pv]]</f>
        <v>1.0416612651118389</v>
      </c>
      <c r="X58" s="10">
        <v>0.65351070789674404</v>
      </c>
      <c r="Y58" s="10">
        <v>0.67467449249167699</v>
      </c>
    </row>
    <row r="59" spans="1:25" x14ac:dyDescent="0.3">
      <c r="A59" s="1" t="s">
        <v>29</v>
      </c>
      <c r="B59" s="10">
        <f t="shared" si="20"/>
        <v>0.9793516358260147</v>
      </c>
      <c r="C59" s="10">
        <f t="shared" si="21"/>
        <v>0.58564676833915918</v>
      </c>
      <c r="D59" s="10">
        <f t="shared" si="22"/>
        <v>8.3807913798661691</v>
      </c>
      <c r="E59" s="10">
        <f t="shared" si="23"/>
        <v>1.5667604651320757</v>
      </c>
      <c r="F59" s="10">
        <f t="shared" si="24"/>
        <v>3.3727037828934314</v>
      </c>
      <c r="G59" s="10">
        <f t="shared" si="25"/>
        <v>0.46717312176373937</v>
      </c>
      <c r="H59" s="10">
        <f t="shared" si="26"/>
        <v>3.0015261714351604E-3</v>
      </c>
      <c r="I59" s="10">
        <f t="shared" si="27"/>
        <v>1.2297657969420426</v>
      </c>
      <c r="J59" s="10">
        <f t="shared" si="28"/>
        <v>1.2245936861141788</v>
      </c>
      <c r="K59" s="10">
        <v>0.60026349158933801</v>
      </c>
      <c r="L59" s="10">
        <v>0.52135653128783699</v>
      </c>
      <c r="N59" t="s">
        <v>29</v>
      </c>
      <c r="O59" s="10">
        <f>Table23[[#This Row],[seed_a_e]]</f>
        <v>0.9793516358260147</v>
      </c>
      <c r="P59" s="10">
        <f>Table23[[#This Row],[seed_b_e]]</f>
        <v>0.58564676833915918</v>
      </c>
      <c r="Q59" s="10">
        <f>Table23[[#This Row],[seed_d_e]]</f>
        <v>8.3807913798661691</v>
      </c>
      <c r="R59" s="10">
        <f>Table23[[#This Row],[seed_c_I_sst]]</f>
        <v>1.5667604651320757</v>
      </c>
      <c r="S59" s="10">
        <f>Table23[[#This Row],[seed_c_I_vip]]</f>
        <v>3.3727037828934314</v>
      </c>
      <c r="T59" s="10">
        <f>Table23[[#This Row],[seed_c_I_pv]]</f>
        <v>0.46717312176373937</v>
      </c>
      <c r="U59" s="10">
        <f>Table23[[#This Row],[seed_r_0_sst]]</f>
        <v>3.0015261714351604E-3</v>
      </c>
      <c r="V59" s="10">
        <f>Table23[[#This Row],[seed_r_0_vip]]</f>
        <v>1.2297657969420426</v>
      </c>
      <c r="W59" s="10">
        <f>Table23[[#This Row],[seed_r_0_pv]]</f>
        <v>1.2245936861141788</v>
      </c>
      <c r="X59" s="10">
        <v>0.60026349158933801</v>
      </c>
      <c r="Y59" s="10">
        <v>0.52135653128783699</v>
      </c>
    </row>
    <row r="60" spans="1:25" x14ac:dyDescent="0.3">
      <c r="A60" s="5" t="s">
        <v>30</v>
      </c>
      <c r="B60" s="10">
        <f t="shared" si="20"/>
        <v>0.91053998341258502</v>
      </c>
      <c r="C60" s="10">
        <f t="shared" si="21"/>
        <v>0.897176412247913</v>
      </c>
      <c r="D60" s="10">
        <f t="shared" si="22"/>
        <v>2.1597506857580457</v>
      </c>
      <c r="E60" s="10">
        <f t="shared" si="23"/>
        <v>0.48125718968932579</v>
      </c>
      <c r="F60" s="10">
        <f t="shared" si="24"/>
        <v>2.0714437023651593</v>
      </c>
      <c r="G60" s="10">
        <f t="shared" si="25"/>
        <v>0.89389738238217276</v>
      </c>
      <c r="H60" s="10">
        <f t="shared" si="26"/>
        <v>0.16839910638639849</v>
      </c>
      <c r="I60" s="10">
        <f t="shared" si="27"/>
        <v>0.76032361885481514</v>
      </c>
      <c r="J60" s="10">
        <f t="shared" si="28"/>
        <v>0.95308060892841995</v>
      </c>
      <c r="K60" s="10">
        <v>0.52796028692755004</v>
      </c>
      <c r="L60" s="10">
        <v>0.36092217938737903</v>
      </c>
      <c r="N60" t="s">
        <v>30</v>
      </c>
      <c r="O60" s="10">
        <f>Table23[[#This Row],[seed_a_e]]</f>
        <v>0.91053998341258502</v>
      </c>
      <c r="P60" s="10">
        <f>Table23[[#This Row],[seed_b_e]]</f>
        <v>0.897176412247913</v>
      </c>
      <c r="Q60" s="10">
        <f>Table23[[#This Row],[seed_d_e]]</f>
        <v>2.1597506857580457</v>
      </c>
      <c r="R60" s="10">
        <f>Table23[[#This Row],[seed_c_I_sst]]</f>
        <v>0.48125718968932579</v>
      </c>
      <c r="S60" s="10">
        <f>Table23[[#This Row],[seed_c_I_vip]]</f>
        <v>2.0714437023651593</v>
      </c>
      <c r="T60" s="10">
        <f>Table23[[#This Row],[seed_c_I_pv]]</f>
        <v>0.89389738238217276</v>
      </c>
      <c r="U60" s="10">
        <f>Table23[[#This Row],[seed_r_0_sst]]</f>
        <v>0.16839910638639849</v>
      </c>
      <c r="V60" s="10">
        <f>Table23[[#This Row],[seed_r_0_vip]]</f>
        <v>0.76032361885481514</v>
      </c>
      <c r="W60" s="10">
        <f>Table23[[#This Row],[seed_r_0_pv]]</f>
        <v>0.95308060892841995</v>
      </c>
      <c r="X60" s="10">
        <v>0.52796028692755004</v>
      </c>
      <c r="Y60" s="10">
        <v>0.36092217938737903</v>
      </c>
    </row>
    <row r="61" spans="1:25" ht="15" thickBot="1" x14ac:dyDescent="0.35"/>
    <row r="62" spans="1:25" ht="15" thickBot="1" x14ac:dyDescent="0.35">
      <c r="A62" s="14" t="s">
        <v>57</v>
      </c>
      <c r="N62" s="14" t="s">
        <v>55</v>
      </c>
    </row>
    <row r="63" spans="1:25" x14ac:dyDescent="0.3">
      <c r="A63" s="8" t="s">
        <v>18</v>
      </c>
      <c r="B63" s="8" t="s">
        <v>0</v>
      </c>
      <c r="C63" s="8" t="s">
        <v>1</v>
      </c>
      <c r="D63" s="8" t="s">
        <v>2</v>
      </c>
      <c r="E63" s="8" t="s">
        <v>3</v>
      </c>
      <c r="F63" s="8" t="s">
        <v>4</v>
      </c>
      <c r="G63" s="8" t="s">
        <v>5</v>
      </c>
      <c r="H63" s="8" t="s">
        <v>6</v>
      </c>
      <c r="I63" s="8" t="s">
        <v>7</v>
      </c>
      <c r="J63" s="8" t="s">
        <v>8</v>
      </c>
      <c r="K63" s="9" t="s">
        <v>20</v>
      </c>
      <c r="L63" s="8" t="s">
        <v>19</v>
      </c>
      <c r="N63" t="s">
        <v>18</v>
      </c>
      <c r="O63" t="s">
        <v>0</v>
      </c>
      <c r="P63" t="s">
        <v>1</v>
      </c>
      <c r="Q63" t="s">
        <v>2</v>
      </c>
      <c r="R63" t="s">
        <v>3</v>
      </c>
      <c r="S63" t="s">
        <v>4</v>
      </c>
      <c r="T63" t="s">
        <v>5</v>
      </c>
      <c r="U63" t="s">
        <v>6</v>
      </c>
      <c r="V63" t="s">
        <v>7</v>
      </c>
      <c r="W63" t="s">
        <v>8</v>
      </c>
      <c r="X63" t="s">
        <v>20</v>
      </c>
      <c r="Y63" t="s">
        <v>19</v>
      </c>
    </row>
    <row r="64" spans="1:25" x14ac:dyDescent="0.3">
      <c r="A64" s="1" t="s">
        <v>21</v>
      </c>
      <c r="B64" s="10">
        <f>LOG(B51,2)</f>
        <v>2.3607445216001137</v>
      </c>
      <c r="C64" s="10">
        <f t="shared" ref="C64:J64" si="29">LOG(C51,2)</f>
        <v>-5.5480921259072318</v>
      </c>
      <c r="D64" s="10">
        <f t="shared" si="29"/>
        <v>-4.9444561880769333</v>
      </c>
      <c r="E64" s="10">
        <f t="shared" si="29"/>
        <v>1.266053502001304</v>
      </c>
      <c r="F64" s="10">
        <f t="shared" si="29"/>
        <v>0.18354881786721497</v>
      </c>
      <c r="G64" s="10">
        <f t="shared" si="29"/>
        <v>1.2775329106315709</v>
      </c>
      <c r="H64" s="10">
        <f t="shared" si="29"/>
        <v>-17.576276408203682</v>
      </c>
      <c r="I64" s="10">
        <f t="shared" si="29"/>
        <v>2.3088658928421943</v>
      </c>
      <c r="J64" s="10">
        <f t="shared" si="29"/>
        <v>1.4570264131928441</v>
      </c>
      <c r="K64" s="10">
        <v>0.712406808509643</v>
      </c>
      <c r="L64" s="10">
        <v>0.52304667728695398</v>
      </c>
      <c r="N64" t="s">
        <v>21</v>
      </c>
      <c r="O64" s="10">
        <f>Table28[[#This Row],[seed_a_e]]</f>
        <v>2.3607445216001137</v>
      </c>
      <c r="P64" s="10">
        <f>Table28[[#This Row],[seed_b_e]]</f>
        <v>-5.5480921259072318</v>
      </c>
      <c r="Q64" s="10">
        <f>Table28[[#This Row],[seed_d_e]]</f>
        <v>-4.9444561880769333</v>
      </c>
      <c r="R64" s="10">
        <f>Table28[[#This Row],[seed_c_I_sst]]</f>
        <v>1.266053502001304</v>
      </c>
      <c r="S64" s="10">
        <f>Table28[[#This Row],[seed_c_I_vip]]</f>
        <v>0.18354881786721497</v>
      </c>
      <c r="T64" s="10">
        <f>Table28[[#This Row],[seed_c_I_pv]]</f>
        <v>1.2775329106315709</v>
      </c>
      <c r="U64" s="10">
        <f>Table28[[#This Row],[seed_r_0_sst]]</f>
        <v>-17.576276408203682</v>
      </c>
      <c r="V64" s="10">
        <f>Table28[[#This Row],[seed_r_0_vip]]</f>
        <v>2.3088658928421943</v>
      </c>
      <c r="W64" s="10">
        <f>Table28[[#This Row],[seed_r_0_pv]]</f>
        <v>1.4570264131928441</v>
      </c>
      <c r="X64" s="10">
        <v>0.712406808509643</v>
      </c>
      <c r="Y64" s="10">
        <v>0.52304667728695398</v>
      </c>
    </row>
    <row r="65" spans="1:25" x14ac:dyDescent="0.3">
      <c r="A65" s="5" t="s">
        <v>22</v>
      </c>
      <c r="B65" s="10">
        <f t="shared" ref="B65:J65" si="30">LOG(B52,2)</f>
        <v>2.7369653309143671</v>
      </c>
      <c r="C65" s="10">
        <f t="shared" si="30"/>
        <v>-5.4643560178443993</v>
      </c>
      <c r="D65" s="10">
        <f t="shared" si="30"/>
        <v>-0.19738475663355029</v>
      </c>
      <c r="E65" s="10">
        <f t="shared" si="30"/>
        <v>1.9212461988238425</v>
      </c>
      <c r="F65" s="10">
        <f t="shared" si="30"/>
        <v>0.53275888564756113</v>
      </c>
      <c r="G65" s="10">
        <f t="shared" si="30"/>
        <v>-3.2530613957782899</v>
      </c>
      <c r="H65" s="10">
        <f t="shared" si="30"/>
        <v>2.2598956879742653</v>
      </c>
      <c r="I65" s="10">
        <f t="shared" si="30"/>
        <v>2.218696884121365</v>
      </c>
      <c r="J65" s="10">
        <f t="shared" si="30"/>
        <v>1.2183582580427561</v>
      </c>
      <c r="K65" s="10">
        <v>0.48840316014479601</v>
      </c>
      <c r="L65" s="10">
        <v>0.495336580378823</v>
      </c>
      <c r="N65" t="s">
        <v>22</v>
      </c>
      <c r="O65" s="10">
        <f>Table28[[#This Row],[seed_a_e]]</f>
        <v>2.7369653309143671</v>
      </c>
      <c r="P65" s="10">
        <f>Table28[[#This Row],[seed_b_e]]</f>
        <v>-5.4643560178443993</v>
      </c>
      <c r="Q65" s="10">
        <f>Table28[[#This Row],[seed_d_e]]</f>
        <v>-0.19738475663355029</v>
      </c>
      <c r="R65" s="10">
        <f>Table28[[#This Row],[seed_c_I_sst]]</f>
        <v>1.9212461988238425</v>
      </c>
      <c r="S65" s="10">
        <f>Table28[[#This Row],[seed_c_I_vip]]</f>
        <v>0.53275888564756113</v>
      </c>
      <c r="T65" s="10">
        <f>Table28[[#This Row],[seed_c_I_pv]]</f>
        <v>-3.2530613957782899</v>
      </c>
      <c r="U65" s="10">
        <f>Table28[[#This Row],[seed_r_0_sst]]</f>
        <v>2.2598956879742653</v>
      </c>
      <c r="V65" s="10">
        <f>Table28[[#This Row],[seed_r_0_vip]]</f>
        <v>2.218696884121365</v>
      </c>
      <c r="W65" s="10">
        <f>Table28[[#This Row],[seed_r_0_pv]]</f>
        <v>1.2183582580427561</v>
      </c>
      <c r="X65" s="10">
        <v>0.48840316014479601</v>
      </c>
      <c r="Y65" s="10">
        <v>0.495336580378823</v>
      </c>
    </row>
    <row r="66" spans="1:25" x14ac:dyDescent="0.3">
      <c r="A66" s="1" t="s">
        <v>23</v>
      </c>
      <c r="B66" s="10">
        <f t="shared" ref="B66:J66" si="31">LOG(B53,2)</f>
        <v>-2.0224432404781951</v>
      </c>
      <c r="C66" s="10">
        <f t="shared" si="31"/>
        <v>-1.1728126557638345</v>
      </c>
      <c r="D66" s="10">
        <f t="shared" si="31"/>
        <v>0.83005773384295534</v>
      </c>
      <c r="E66" s="10">
        <f t="shared" si="31"/>
        <v>1.0706847819276819</v>
      </c>
      <c r="F66" s="10">
        <f t="shared" si="31"/>
        <v>-0.99120476240971478</v>
      </c>
      <c r="G66" s="10">
        <f t="shared" si="31"/>
        <v>-1.2177644733163766</v>
      </c>
      <c r="H66" s="10">
        <f t="shared" si="31"/>
        <v>1.2094672668679038</v>
      </c>
      <c r="I66" s="10">
        <f t="shared" si="31"/>
        <v>0.93358408262978465</v>
      </c>
      <c r="J66" s="10">
        <f t="shared" si="31"/>
        <v>0.39732774098789159</v>
      </c>
      <c r="K66" s="10">
        <v>0.59089730657681105</v>
      </c>
      <c r="L66" s="10">
        <v>0.58339645238371796</v>
      </c>
      <c r="N66" t="s">
        <v>23</v>
      </c>
      <c r="O66" s="10">
        <f>Table28[[#This Row],[seed_a_e]]</f>
        <v>-2.0224432404781951</v>
      </c>
      <c r="P66" s="10">
        <f>Table28[[#This Row],[seed_b_e]]</f>
        <v>-1.1728126557638345</v>
      </c>
      <c r="Q66" s="10">
        <f>Table28[[#This Row],[seed_d_e]]</f>
        <v>0.83005773384295534</v>
      </c>
      <c r="R66" s="10">
        <f>Table28[[#This Row],[seed_c_I_sst]]</f>
        <v>1.0706847819276819</v>
      </c>
      <c r="S66" s="10">
        <f>Table28[[#This Row],[seed_c_I_vip]]</f>
        <v>-0.99120476240971478</v>
      </c>
      <c r="T66" s="10">
        <f>Table28[[#This Row],[seed_c_I_pv]]</f>
        <v>-1.2177644733163766</v>
      </c>
      <c r="U66" s="10">
        <f>Table28[[#This Row],[seed_r_0_sst]]</f>
        <v>1.2094672668679038</v>
      </c>
      <c r="V66" s="10">
        <f>Table28[[#This Row],[seed_r_0_vip]]</f>
        <v>0.93358408262978465</v>
      </c>
      <c r="W66" s="10">
        <f>Table28[[#This Row],[seed_r_0_pv]]</f>
        <v>0.39732774098789159</v>
      </c>
      <c r="X66" s="10">
        <v>0.59089730657681105</v>
      </c>
      <c r="Y66" s="10">
        <v>0.58339645238371796</v>
      </c>
    </row>
    <row r="67" spans="1:25" x14ac:dyDescent="0.3">
      <c r="A67" s="5" t="s">
        <v>24</v>
      </c>
      <c r="B67" s="10">
        <f t="shared" ref="B67:J67" si="32">LOG(B54,2)</f>
        <v>-0.66710488797281842</v>
      </c>
      <c r="C67" s="10">
        <f t="shared" si="32"/>
        <v>-1.065247883972352</v>
      </c>
      <c r="D67" s="10">
        <f t="shared" si="32"/>
        <v>2.7682393354027499</v>
      </c>
      <c r="E67" s="10">
        <f t="shared" si="32"/>
        <v>1.4042739341932964</v>
      </c>
      <c r="F67" s="10">
        <f t="shared" si="32"/>
        <v>1.1413195368962794</v>
      </c>
      <c r="G67" s="10">
        <f t="shared" si="32"/>
        <v>0.37230205644289915</v>
      </c>
      <c r="H67" s="10">
        <f t="shared" si="32"/>
        <v>2.0409457939139006</v>
      </c>
      <c r="I67" s="10">
        <f t="shared" si="32"/>
        <v>-0.4987214686252387</v>
      </c>
      <c r="J67" s="10">
        <f t="shared" si="32"/>
        <v>0.10802871637299623</v>
      </c>
      <c r="K67" s="10">
        <v>0.67887988874580396</v>
      </c>
      <c r="L67" s="10">
        <v>0.39443555162616101</v>
      </c>
      <c r="N67" t="s">
        <v>24</v>
      </c>
      <c r="O67" s="10">
        <f>Table28[[#This Row],[seed_a_e]]</f>
        <v>-0.66710488797281842</v>
      </c>
      <c r="P67" s="10">
        <f>Table28[[#This Row],[seed_b_e]]</f>
        <v>-1.065247883972352</v>
      </c>
      <c r="Q67" s="10">
        <f>Table28[[#This Row],[seed_d_e]]</f>
        <v>2.7682393354027499</v>
      </c>
      <c r="R67" s="10">
        <f>Table28[[#This Row],[seed_c_I_sst]]</f>
        <v>1.4042739341932964</v>
      </c>
      <c r="S67" s="10">
        <f>Table28[[#This Row],[seed_c_I_vip]]</f>
        <v>1.1413195368962794</v>
      </c>
      <c r="T67" s="10">
        <f>Table28[[#This Row],[seed_c_I_pv]]</f>
        <v>0.37230205644289915</v>
      </c>
      <c r="U67" s="10">
        <f>Table28[[#This Row],[seed_r_0_sst]]</f>
        <v>2.0409457939139006</v>
      </c>
      <c r="V67" s="10">
        <f>Table28[[#This Row],[seed_r_0_vip]]</f>
        <v>-0.4987214686252387</v>
      </c>
      <c r="W67" s="10">
        <f>Table28[[#This Row],[seed_r_0_pv]]</f>
        <v>0.10802871637299623</v>
      </c>
      <c r="X67" s="10">
        <v>0.67887988874580396</v>
      </c>
      <c r="Y67" s="10">
        <v>0.39443555162616101</v>
      </c>
    </row>
    <row r="68" spans="1:25" x14ac:dyDescent="0.3">
      <c r="A68" s="1" t="s">
        <v>25</v>
      </c>
      <c r="B68" s="10">
        <f t="shared" ref="B68:J68" si="33">LOG(B55,2)</f>
        <v>-0.5728235068272447</v>
      </c>
      <c r="C68" s="10">
        <f t="shared" si="33"/>
        <v>-0.87154885970075868</v>
      </c>
      <c r="D68" s="10">
        <f t="shared" si="33"/>
        <v>3.2807249310496602</v>
      </c>
      <c r="E68" s="10">
        <f t="shared" si="33"/>
        <v>1.0181506652562498</v>
      </c>
      <c r="F68" s="10">
        <f t="shared" si="33"/>
        <v>0.86352524039149026</v>
      </c>
      <c r="G68" s="10">
        <f t="shared" si="33"/>
        <v>0.71405552326234423</v>
      </c>
      <c r="H68" s="10">
        <f t="shared" si="33"/>
        <v>0.81332421626916596</v>
      </c>
      <c r="I68" s="10">
        <f t="shared" si="33"/>
        <v>1.2689164799654529</v>
      </c>
      <c r="J68" s="10">
        <f t="shared" si="33"/>
        <v>0.93079283589731576</v>
      </c>
      <c r="K68" s="10">
        <v>0.51157923348573597</v>
      </c>
      <c r="L68" s="10">
        <v>0.59310751110297899</v>
      </c>
      <c r="N68" t="s">
        <v>25</v>
      </c>
      <c r="O68" s="10">
        <f>Table28[[#This Row],[seed_a_e]]</f>
        <v>-0.5728235068272447</v>
      </c>
      <c r="P68" s="10">
        <f>Table28[[#This Row],[seed_b_e]]</f>
        <v>-0.87154885970075868</v>
      </c>
      <c r="Q68" s="10">
        <f>Table28[[#This Row],[seed_d_e]]</f>
        <v>3.2807249310496602</v>
      </c>
      <c r="R68" s="10">
        <f>Table28[[#This Row],[seed_c_I_sst]]</f>
        <v>1.0181506652562498</v>
      </c>
      <c r="S68" s="10">
        <f>Table28[[#This Row],[seed_c_I_vip]]</f>
        <v>0.86352524039149026</v>
      </c>
      <c r="T68" s="10">
        <f>Table28[[#This Row],[seed_c_I_pv]]</f>
        <v>0.71405552326234423</v>
      </c>
      <c r="U68" s="10">
        <f>Table28[[#This Row],[seed_r_0_sst]]</f>
        <v>0.81332421626916596</v>
      </c>
      <c r="V68" s="10">
        <f>Table28[[#This Row],[seed_r_0_vip]]</f>
        <v>1.2689164799654529</v>
      </c>
      <c r="W68" s="10">
        <f>Table28[[#This Row],[seed_r_0_pv]]</f>
        <v>0.93079283589731576</v>
      </c>
      <c r="X68" s="10">
        <v>0.51157923348573597</v>
      </c>
      <c r="Y68" s="10">
        <v>0.59310751110297899</v>
      </c>
    </row>
    <row r="69" spans="1:25" x14ac:dyDescent="0.3">
      <c r="A69" s="5" t="s">
        <v>26</v>
      </c>
      <c r="B69" s="10">
        <f t="shared" ref="B69:J69" si="34">LOG(B56,2)</f>
        <v>2.5212856910530173</v>
      </c>
      <c r="C69" s="10">
        <f t="shared" si="34"/>
        <v>3.1988797069160722</v>
      </c>
      <c r="D69" s="10">
        <f t="shared" si="34"/>
        <v>3.2725454611076854</v>
      </c>
      <c r="E69" s="10">
        <f t="shared" si="34"/>
        <v>1.5206350471996271</v>
      </c>
      <c r="F69" s="10">
        <f t="shared" si="34"/>
        <v>-1.435528289121266</v>
      </c>
      <c r="G69" s="10">
        <f t="shared" si="34"/>
        <v>-2.0850624802025322</v>
      </c>
      <c r="H69" s="10">
        <f t="shared" si="34"/>
        <v>3.1049321550326421</v>
      </c>
      <c r="I69" s="10">
        <f t="shared" si="34"/>
        <v>0.36576843022015681</v>
      </c>
      <c r="J69" s="10">
        <f t="shared" si="34"/>
        <v>1.9318958012724012</v>
      </c>
      <c r="K69" s="10">
        <v>0.61136346201208103</v>
      </c>
      <c r="L69" s="10">
        <v>0.46257299662969398</v>
      </c>
      <c r="N69" t="s">
        <v>26</v>
      </c>
      <c r="O69" s="10">
        <f>Table28[[#This Row],[seed_a_e]]</f>
        <v>2.5212856910530173</v>
      </c>
      <c r="P69" s="10">
        <f>Table28[[#This Row],[seed_b_e]]</f>
        <v>3.1988797069160722</v>
      </c>
      <c r="Q69" s="10">
        <f>Table28[[#This Row],[seed_d_e]]</f>
        <v>3.2725454611076854</v>
      </c>
      <c r="R69" s="10">
        <f>Table28[[#This Row],[seed_c_I_sst]]</f>
        <v>1.5206350471996271</v>
      </c>
      <c r="S69" s="10">
        <f>Table28[[#This Row],[seed_c_I_vip]]</f>
        <v>-1.435528289121266</v>
      </c>
      <c r="T69" s="10">
        <f>Table28[[#This Row],[seed_c_I_pv]]</f>
        <v>-2.0850624802025322</v>
      </c>
      <c r="U69" s="10">
        <f>Table28[[#This Row],[seed_r_0_sst]]</f>
        <v>3.1049321550326421</v>
      </c>
      <c r="V69" s="10">
        <f>Table28[[#This Row],[seed_r_0_vip]]</f>
        <v>0.36576843022015681</v>
      </c>
      <c r="W69" s="10">
        <f>Table28[[#This Row],[seed_r_0_pv]]</f>
        <v>1.9318958012724012</v>
      </c>
      <c r="X69" s="10">
        <v>0.61136346201208103</v>
      </c>
      <c r="Y69" s="10">
        <v>0.46257299662969398</v>
      </c>
    </row>
    <row r="70" spans="1:25" x14ac:dyDescent="0.3">
      <c r="A70" s="1" t="s">
        <v>27</v>
      </c>
      <c r="B70" s="10">
        <f t="shared" ref="B70:J70" si="35">LOG(B57,2)</f>
        <v>-3.2981334545091294</v>
      </c>
      <c r="C70" s="10">
        <f t="shared" si="35"/>
        <v>-3.1626877579229191</v>
      </c>
      <c r="D70" s="10">
        <f t="shared" si="35"/>
        <v>2.6193054413637524</v>
      </c>
      <c r="E70" s="10">
        <f t="shared" si="35"/>
        <v>0.59017786198087197</v>
      </c>
      <c r="F70" s="10">
        <f t="shared" si="35"/>
        <v>1.8652835099839846</v>
      </c>
      <c r="G70" s="10">
        <f t="shared" si="35"/>
        <v>-0.32388069362483574</v>
      </c>
      <c r="H70" s="10">
        <f t="shared" si="35"/>
        <v>0.70553036209248776</v>
      </c>
      <c r="I70" s="10">
        <f t="shared" si="35"/>
        <v>1.9729298499217129</v>
      </c>
      <c r="J70" s="10">
        <f t="shared" si="35"/>
        <v>0.88433031809514107</v>
      </c>
      <c r="K70" s="10">
        <v>0.55681124125554704</v>
      </c>
      <c r="L70" s="10">
        <v>0.35074167737220402</v>
      </c>
      <c r="N70" t="s">
        <v>27</v>
      </c>
      <c r="O70" s="10">
        <f>Table28[[#This Row],[seed_a_e]]</f>
        <v>-3.2981334545091294</v>
      </c>
      <c r="P70" s="10">
        <f>Table28[[#This Row],[seed_b_e]]</f>
        <v>-3.1626877579229191</v>
      </c>
      <c r="Q70" s="10">
        <f>Table28[[#This Row],[seed_d_e]]</f>
        <v>2.6193054413637524</v>
      </c>
      <c r="R70" s="10">
        <f>Table28[[#This Row],[seed_c_I_sst]]</f>
        <v>0.59017786198087197</v>
      </c>
      <c r="S70" s="10">
        <f>Table28[[#This Row],[seed_c_I_vip]]</f>
        <v>1.8652835099839846</v>
      </c>
      <c r="T70" s="10">
        <f>Table28[[#This Row],[seed_c_I_pv]]</f>
        <v>-0.32388069362483574</v>
      </c>
      <c r="U70" s="10">
        <f>Table28[[#This Row],[seed_r_0_sst]]</f>
        <v>0.70553036209248776</v>
      </c>
      <c r="V70" s="10">
        <f>Table28[[#This Row],[seed_r_0_vip]]</f>
        <v>1.9729298499217129</v>
      </c>
      <c r="W70" s="10">
        <f>Table28[[#This Row],[seed_r_0_pv]]</f>
        <v>0.88433031809514107</v>
      </c>
      <c r="X70" s="10">
        <v>0.55681124125554704</v>
      </c>
      <c r="Y70" s="10">
        <v>0.35074167737220402</v>
      </c>
    </row>
    <row r="71" spans="1:25" x14ac:dyDescent="0.3">
      <c r="A71" s="5" t="s">
        <v>28</v>
      </c>
      <c r="B71" s="10">
        <f t="shared" ref="B71:J71" si="36">LOG(B58,2)</f>
        <v>1.2676849015540158E-2</v>
      </c>
      <c r="C71" s="10">
        <f t="shared" si="36"/>
        <v>0.20312240865680684</v>
      </c>
      <c r="D71" s="10">
        <f t="shared" si="36"/>
        <v>0.96508008469677264</v>
      </c>
      <c r="E71" s="10">
        <f t="shared" si="36"/>
        <v>0.11114363450179288</v>
      </c>
      <c r="F71" s="10">
        <f t="shared" si="36"/>
        <v>-6.2010891749634929E-2</v>
      </c>
      <c r="G71" s="10">
        <f t="shared" si="36"/>
        <v>-8.1731281156573729E-2</v>
      </c>
      <c r="H71" s="10">
        <f t="shared" si="36"/>
        <v>6.68446415154242E-2</v>
      </c>
      <c r="I71" s="10">
        <f t="shared" si="36"/>
        <v>-4.4426936394511819E-2</v>
      </c>
      <c r="J71" s="10">
        <f t="shared" si="36"/>
        <v>5.8886207949663268E-2</v>
      </c>
      <c r="K71" s="10">
        <v>0.65351070789674404</v>
      </c>
      <c r="L71" s="10">
        <v>0.67467449249167699</v>
      </c>
      <c r="N71" t="s">
        <v>28</v>
      </c>
      <c r="O71" s="10">
        <f>Table28[[#This Row],[seed_a_e]]</f>
        <v>1.2676849015540158E-2</v>
      </c>
      <c r="P71" s="10">
        <f>Table28[[#This Row],[seed_b_e]]</f>
        <v>0.20312240865680684</v>
      </c>
      <c r="Q71" s="10">
        <f>Table28[[#This Row],[seed_d_e]]</f>
        <v>0.96508008469677264</v>
      </c>
      <c r="R71" s="10">
        <f>Table28[[#This Row],[seed_c_I_sst]]</f>
        <v>0.11114363450179288</v>
      </c>
      <c r="S71" s="10">
        <f>Table28[[#This Row],[seed_c_I_vip]]</f>
        <v>-6.2010891749634929E-2</v>
      </c>
      <c r="T71" s="10">
        <f>Table28[[#This Row],[seed_c_I_pv]]</f>
        <v>-8.1731281156573729E-2</v>
      </c>
      <c r="U71" s="10">
        <f>Table28[[#This Row],[seed_r_0_sst]]</f>
        <v>6.68446415154242E-2</v>
      </c>
      <c r="V71" s="10">
        <f>Table28[[#This Row],[seed_r_0_vip]]</f>
        <v>-4.4426936394511819E-2</v>
      </c>
      <c r="W71" s="10">
        <f>Table28[[#This Row],[seed_r_0_pv]]</f>
        <v>5.8886207949663268E-2</v>
      </c>
      <c r="X71" s="10">
        <v>0.65351070789674404</v>
      </c>
      <c r="Y71" s="10">
        <v>0.67467449249167699</v>
      </c>
    </row>
    <row r="72" spans="1:25" x14ac:dyDescent="0.3">
      <c r="A72" s="1" t="s">
        <v>29</v>
      </c>
      <c r="B72" s="10">
        <f t="shared" ref="B72:J72" si="37">LOG(B59,2)</f>
        <v>-3.0101142946064852E-2</v>
      </c>
      <c r="C72" s="10">
        <f t="shared" si="37"/>
        <v>-0.77189732651675569</v>
      </c>
      <c r="D72" s="10">
        <f t="shared" si="37"/>
        <v>3.0670864809057279</v>
      </c>
      <c r="E72" s="10">
        <f t="shared" si="37"/>
        <v>0.647784629598955</v>
      </c>
      <c r="F72" s="10">
        <f t="shared" si="37"/>
        <v>1.7539056152084656</v>
      </c>
      <c r="G72" s="10">
        <f t="shared" si="37"/>
        <v>-1.0979708219828659</v>
      </c>
      <c r="H72" s="10">
        <f t="shared" si="37"/>
        <v>-8.3800880372419684</v>
      </c>
      <c r="I72" s="10">
        <f t="shared" si="37"/>
        <v>0.298383587302404</v>
      </c>
      <c r="J72" s="10">
        <f t="shared" si="37"/>
        <v>0.29230314982842931</v>
      </c>
      <c r="K72" s="10">
        <v>0.60026349158933801</v>
      </c>
      <c r="L72" s="10">
        <v>0.52135653128783699</v>
      </c>
      <c r="N72" t="s">
        <v>29</v>
      </c>
      <c r="O72" s="10">
        <f>Table28[[#This Row],[seed_a_e]]</f>
        <v>-3.0101142946064852E-2</v>
      </c>
      <c r="P72" s="10">
        <f>Table28[[#This Row],[seed_b_e]]</f>
        <v>-0.77189732651675569</v>
      </c>
      <c r="Q72" s="10">
        <f>Table28[[#This Row],[seed_d_e]]</f>
        <v>3.0670864809057279</v>
      </c>
      <c r="R72" s="10">
        <f>Table28[[#This Row],[seed_c_I_sst]]</f>
        <v>0.647784629598955</v>
      </c>
      <c r="S72" s="10">
        <f>Table28[[#This Row],[seed_c_I_vip]]</f>
        <v>1.7539056152084656</v>
      </c>
      <c r="T72" s="10">
        <f>Table28[[#This Row],[seed_c_I_pv]]</f>
        <v>-1.0979708219828659</v>
      </c>
      <c r="U72" s="10">
        <f>Table28[[#This Row],[seed_r_0_sst]]</f>
        <v>-8.3800880372419684</v>
      </c>
      <c r="V72" s="10">
        <f>Table28[[#This Row],[seed_r_0_vip]]</f>
        <v>0.298383587302404</v>
      </c>
      <c r="W72" s="10">
        <f>Table28[[#This Row],[seed_r_0_pv]]</f>
        <v>0.29230314982842931</v>
      </c>
      <c r="X72" s="10">
        <v>0.60026349158933801</v>
      </c>
      <c r="Y72" s="10">
        <v>0.52135653128783699</v>
      </c>
    </row>
    <row r="73" spans="1:25" x14ac:dyDescent="0.3">
      <c r="A73" s="5" t="s">
        <v>30</v>
      </c>
      <c r="B73" s="10">
        <f t="shared" ref="B73:J73" si="38">LOG(B60,2)</f>
        <v>-0.13520572501689562</v>
      </c>
      <c r="C73" s="10">
        <f t="shared" si="38"/>
        <v>-0.15653640399984656</v>
      </c>
      <c r="D73" s="10">
        <f t="shared" si="38"/>
        <v>1.1108647822127893</v>
      </c>
      <c r="E73" s="10">
        <f t="shared" si="38"/>
        <v>-1.0551200010461632</v>
      </c>
      <c r="F73" s="10">
        <f t="shared" si="38"/>
        <v>1.0506366113273589</v>
      </c>
      <c r="G73" s="10">
        <f t="shared" si="38"/>
        <v>-0.1618188724560726</v>
      </c>
      <c r="H73" s="10">
        <f t="shared" si="38"/>
        <v>-2.5700436121560464</v>
      </c>
      <c r="I73" s="10">
        <f t="shared" si="38"/>
        <v>-0.39531448693324878</v>
      </c>
      <c r="J73" s="10">
        <f t="shared" si="38"/>
        <v>-6.9329856425569006E-2</v>
      </c>
      <c r="K73" s="10">
        <v>0.52796028692755004</v>
      </c>
      <c r="L73" s="10">
        <v>0.36092217938737903</v>
      </c>
      <c r="N73" t="s">
        <v>30</v>
      </c>
      <c r="O73" s="10">
        <f>Table28[[#This Row],[seed_a_e]]</f>
        <v>-0.13520572501689562</v>
      </c>
      <c r="P73" s="10">
        <f>Table28[[#This Row],[seed_b_e]]</f>
        <v>-0.15653640399984656</v>
      </c>
      <c r="Q73" s="10">
        <f>Table28[[#This Row],[seed_d_e]]</f>
        <v>1.1108647822127893</v>
      </c>
      <c r="R73" s="10">
        <f>Table28[[#This Row],[seed_c_I_sst]]</f>
        <v>-1.0551200010461632</v>
      </c>
      <c r="S73" s="10">
        <f>Table28[[#This Row],[seed_c_I_vip]]</f>
        <v>1.0506366113273589</v>
      </c>
      <c r="T73" s="10">
        <f>Table28[[#This Row],[seed_c_I_pv]]</f>
        <v>-0.1618188724560726</v>
      </c>
      <c r="U73" s="10">
        <f>Table28[[#This Row],[seed_r_0_sst]]</f>
        <v>-2.5700436121560464</v>
      </c>
      <c r="V73" s="10">
        <f>Table28[[#This Row],[seed_r_0_vip]]</f>
        <v>-0.39531448693324878</v>
      </c>
      <c r="W73" s="10">
        <f>Table28[[#This Row],[seed_r_0_pv]]</f>
        <v>-6.9329856425569006E-2</v>
      </c>
      <c r="X73" s="10">
        <v>0.52796028692755004</v>
      </c>
      <c r="Y73" s="10">
        <v>0.36092217938737903</v>
      </c>
    </row>
    <row r="75" spans="1:25" ht="15" thickBot="1" x14ac:dyDescent="0.35"/>
    <row r="76" spans="1:25" ht="15" thickBot="1" x14ac:dyDescent="0.35">
      <c r="A76" s="14" t="s">
        <v>53</v>
      </c>
      <c r="F76" s="14" t="s">
        <v>54</v>
      </c>
    </row>
    <row r="77" spans="1:25" x14ac:dyDescent="0.3">
      <c r="A77" s="8" t="s">
        <v>18</v>
      </c>
      <c r="B77" s="9" t="s">
        <v>20</v>
      </c>
      <c r="C77" s="8" t="s">
        <v>19</v>
      </c>
      <c r="F77" s="8" t="s">
        <v>18</v>
      </c>
      <c r="G77" s="9" t="s">
        <v>20</v>
      </c>
      <c r="H77" s="9" t="s">
        <v>19</v>
      </c>
      <c r="I77" s="34" t="s">
        <v>52</v>
      </c>
      <c r="S77" t="s">
        <v>58</v>
      </c>
    </row>
    <row r="78" spans="1:25" x14ac:dyDescent="0.3">
      <c r="A78" s="1" t="s">
        <v>21</v>
      </c>
      <c r="B78" s="23">
        <v>0.712406808509643</v>
      </c>
      <c r="C78" s="23">
        <v>0.52304667728695398</v>
      </c>
      <c r="F78" s="32" t="s">
        <v>21</v>
      </c>
      <c r="G78" s="10">
        <f>Table32[[#This Row],[best_pearson_r]]^2</f>
        <v>0.50752346081089517</v>
      </c>
      <c r="H78" s="10">
        <f>Table32[[#This Row],[best_difference_vector_r]]^2</f>
        <v>0.273577826620923</v>
      </c>
      <c r="I78" s="10">
        <f>Table33[[#This Row],[best_pearson_r]]+Table33[[#This Row],[best_difference_vector_r]]</f>
        <v>0.78110128743181817</v>
      </c>
    </row>
    <row r="79" spans="1:25" x14ac:dyDescent="0.3">
      <c r="A79" s="5" t="s">
        <v>22</v>
      </c>
      <c r="B79" s="24">
        <v>0.48840316014479601</v>
      </c>
      <c r="C79" s="24">
        <v>0.495336580378823</v>
      </c>
      <c r="F79" s="33" t="s">
        <v>22</v>
      </c>
      <c r="G79" s="10">
        <f>Table32[[#This Row],[best_pearson_r]]^2</f>
        <v>0.23853764683942325</v>
      </c>
      <c r="H79" s="10">
        <f>Table32[[#This Row],[best_difference_vector_r]]^2</f>
        <v>0.24535832786138617</v>
      </c>
      <c r="I79" s="10">
        <f>Table33[[#This Row],[best_pearson_r]]+Table33[[#This Row],[best_difference_vector_r]]</f>
        <v>0.48389597470080942</v>
      </c>
    </row>
    <row r="80" spans="1:25" x14ac:dyDescent="0.3">
      <c r="A80" s="1" t="s">
        <v>23</v>
      </c>
      <c r="B80" s="23">
        <v>0.59089730657681105</v>
      </c>
      <c r="C80" s="23">
        <v>0.58339645238371796</v>
      </c>
      <c r="F80" s="32" t="s">
        <v>23</v>
      </c>
      <c r="G80" s="10">
        <f>Table32[[#This Row],[best_pearson_r]]^2</f>
        <v>0.34915962691972985</v>
      </c>
      <c r="H80" s="10">
        <f>Table32[[#This Row],[best_difference_vector_r]]^2</f>
        <v>0.34035142065390767</v>
      </c>
      <c r="I80" s="10">
        <f>Table33[[#This Row],[best_pearson_r]]+Table33[[#This Row],[best_difference_vector_r]]</f>
        <v>0.68951104757363746</v>
      </c>
    </row>
    <row r="81" spans="1:9" x14ac:dyDescent="0.3">
      <c r="A81" s="5" t="s">
        <v>24</v>
      </c>
      <c r="B81" s="24">
        <v>0.67887988874580396</v>
      </c>
      <c r="C81" s="24">
        <v>0.39443555162616101</v>
      </c>
      <c r="F81" s="33" t="s">
        <v>24</v>
      </c>
      <c r="G81" s="10">
        <f>Table32[[#This Row],[best_pearson_r]]^2</f>
        <v>0.46087790334351514</v>
      </c>
      <c r="H81" s="10">
        <f>Table32[[#This Row],[best_difference_vector_r]]^2</f>
        <v>0.15557940438663392</v>
      </c>
      <c r="I81" s="10">
        <f>Table33[[#This Row],[best_pearson_r]]+Table33[[#This Row],[best_difference_vector_r]]</f>
        <v>0.61645730773014906</v>
      </c>
    </row>
    <row r="82" spans="1:9" x14ac:dyDescent="0.3">
      <c r="A82" s="1" t="s">
        <v>25</v>
      </c>
      <c r="B82" s="23">
        <v>0.51157923348573597</v>
      </c>
      <c r="C82" s="23">
        <v>0.59310751110297899</v>
      </c>
      <c r="F82" s="32" t="s">
        <v>25</v>
      </c>
      <c r="G82" s="10">
        <f>Table32[[#This Row],[best_pearson_r]]^2</f>
        <v>0.26171331213385318</v>
      </c>
      <c r="H82" s="10">
        <f>Table32[[#This Row],[best_difference_vector_r]]^2</f>
        <v>0.35177651972677032</v>
      </c>
      <c r="I82" s="10">
        <f>Table33[[#This Row],[best_pearson_r]]+Table33[[#This Row],[best_difference_vector_r]]</f>
        <v>0.61348983186062345</v>
      </c>
    </row>
    <row r="83" spans="1:9" x14ac:dyDescent="0.3">
      <c r="A83" s="5" t="s">
        <v>26</v>
      </c>
      <c r="B83" s="24">
        <v>0.61136346201208103</v>
      </c>
      <c r="C83" s="24">
        <v>0.46257299662969398</v>
      </c>
      <c r="F83" s="33" t="s">
        <v>26</v>
      </c>
      <c r="G83" s="10">
        <f>Table32[[#This Row],[best_pearson_r]]^2</f>
        <v>0.37376528268339726</v>
      </c>
      <c r="H83" s="10">
        <f>Table32[[#This Row],[best_difference_vector_r]]^2</f>
        <v>0.21397377721097488</v>
      </c>
      <c r="I83" s="10">
        <f>Table33[[#This Row],[best_pearson_r]]+Table33[[#This Row],[best_difference_vector_r]]</f>
        <v>0.58773905989437214</v>
      </c>
    </row>
    <row r="84" spans="1:9" x14ac:dyDescent="0.3">
      <c r="A84" s="1" t="s">
        <v>27</v>
      </c>
      <c r="B84" s="23">
        <v>0.55681124125554704</v>
      </c>
      <c r="C84" s="23">
        <v>0.35074167737220402</v>
      </c>
      <c r="F84" s="32" t="s">
        <v>27</v>
      </c>
      <c r="G84" s="10">
        <f>Table32[[#This Row],[best_pearson_r]]^2</f>
        <v>0.310038758388543</v>
      </c>
      <c r="H84" s="10">
        <f>Table32[[#This Row],[best_difference_vector_r]]^2</f>
        <v>0.12301972424586725</v>
      </c>
      <c r="I84" s="10">
        <f>Table33[[#This Row],[best_pearson_r]]+Table33[[#This Row],[best_difference_vector_r]]</f>
        <v>0.43305848263441027</v>
      </c>
    </row>
    <row r="85" spans="1:9" x14ac:dyDescent="0.3">
      <c r="A85" s="5" t="s">
        <v>28</v>
      </c>
      <c r="B85" s="24">
        <v>0.65351070789674404</v>
      </c>
      <c r="C85" s="24">
        <v>0.67467449249167699</v>
      </c>
      <c r="F85" s="33" t="s">
        <v>28</v>
      </c>
      <c r="G85" s="10">
        <f>Table32[[#This Row],[best_pearson_r]]^2</f>
        <v>0.42707624533570349</v>
      </c>
      <c r="H85" s="10">
        <f>Table32[[#This Row],[best_difference_vector_r]]^2</f>
        <v>0.45518567081890193</v>
      </c>
      <c r="I85" s="10">
        <f>Table33[[#This Row],[best_pearson_r]]+Table33[[#This Row],[best_difference_vector_r]]</f>
        <v>0.88226191615460547</v>
      </c>
    </row>
    <row r="86" spans="1:9" x14ac:dyDescent="0.3">
      <c r="A86" s="1" t="s">
        <v>29</v>
      </c>
      <c r="B86" s="23">
        <v>0.60026349158933801</v>
      </c>
      <c r="C86" s="23">
        <v>0.52135653128783699</v>
      </c>
      <c r="F86" s="32" t="s">
        <v>29</v>
      </c>
      <c r="G86" s="10">
        <f>Table32[[#This Row],[best_pearson_r]]^2</f>
        <v>0.36031625933502326</v>
      </c>
      <c r="H86" s="10">
        <f>Table32[[#This Row],[best_difference_vector_r]]^2</f>
        <v>0.27181263271648537</v>
      </c>
      <c r="I86" s="10">
        <f>Table33[[#This Row],[best_pearson_r]]+Table33[[#This Row],[best_difference_vector_r]]</f>
        <v>0.63212889205150868</v>
      </c>
    </row>
    <row r="87" spans="1:9" x14ac:dyDescent="0.3">
      <c r="A87" s="25" t="s">
        <v>30</v>
      </c>
      <c r="B87" s="26">
        <v>0.52796028692755004</v>
      </c>
      <c r="C87" s="26">
        <v>0.36092217938737903</v>
      </c>
      <c r="F87" s="33" t="s">
        <v>30</v>
      </c>
      <c r="G87" s="10">
        <f>Table32[[#This Row],[best_pearson_r]]^2</f>
        <v>0.27874206457262096</v>
      </c>
      <c r="H87" s="10">
        <f>Table32[[#This Row],[best_difference_vector_r]]^2</f>
        <v>0.1302648195737354</v>
      </c>
      <c r="I87" s="10">
        <f>Table33[[#This Row],[best_pearson_r]]+Table33[[#This Row],[best_difference_vector_r]]</f>
        <v>0.40900688414635633</v>
      </c>
    </row>
  </sheetData>
  <phoneticPr fontId="3" type="noConversion"/>
  <conditionalFormatting sqref="N51:N60">
    <cfRule type="colorScale" priority="2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O51:W60">
    <cfRule type="cellIs" dxfId="6" priority="1" operator="between">
      <formula>0.95</formula>
      <formula>1.05</formula>
    </cfRule>
    <cfRule type="cellIs" dxfId="5" priority="8" operator="lessThan">
      <formula>1</formula>
    </cfRule>
    <cfRule type="cellIs" dxfId="4" priority="9" operator="greaterThan">
      <formula>1</formula>
    </cfRule>
    <cfRule type="cellIs" dxfId="3" priority="10" operator="greaterThan">
      <formula>1</formula>
    </cfRule>
  </conditionalFormatting>
  <conditionalFormatting sqref="O64:W73">
    <cfRule type="cellIs" dxfId="2" priority="2" operator="between">
      <formula>-0.07</formula>
      <formula>0.07</formula>
    </cfRule>
    <cfRule type="cellIs" dxfId="1" priority="3" operator="lessThan">
      <formula>0</formula>
    </cfRule>
    <cfRule type="cellIs" dxfId="0" priority="4" operator="greaterThan">
      <formula>0</formula>
    </cfRule>
  </conditionalFormatting>
  <pageMargins left="0.7" right="0.7" top="0.75" bottom="0.75" header="0.3" footer="0.3"/>
  <drawing r:id="rId1"/>
  <tableParts count="8">
    <tablePart r:id="rId2"/>
    <tablePart r:id="rId3"/>
    <tablePart r:id="rId4"/>
    <tablePart r:id="rId5"/>
    <tablePart r:id="rId6"/>
    <tablePart r:id="rId7"/>
    <tablePart r:id="rId8"/>
    <tablePart r:id="rId9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EEE9B08-C13D-4764-BDD4-961FE564C57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Cosine Data</vt:lpstr>
      <vt:lpstr>Heuristic Analysis</vt:lpstr>
      <vt:lpstr>for RSTUDIO</vt:lpstr>
      <vt:lpstr>neural 12345</vt:lpstr>
      <vt:lpstr>OLD Heuristic Analysis</vt:lpstr>
      <vt:lpstr>Old Pearson 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Glen Davidson</dc:creator>
  <cp:lastModifiedBy>Glen Davidson</cp:lastModifiedBy>
  <dcterms:created xsi:type="dcterms:W3CDTF">2026-04-09T17:40:37Z</dcterms:created>
  <dcterms:modified xsi:type="dcterms:W3CDTF">2026-04-27T02:45:17Z</dcterms:modified>
</cp:coreProperties>
</file>