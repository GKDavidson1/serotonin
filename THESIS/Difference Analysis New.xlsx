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New folder\serotonin\THESIS\"/>
    </mc:Choice>
  </mc:AlternateContent>
  <xr:revisionPtr revIDLastSave="0" documentId="8_{714543E8-E7FB-486C-A9D0-B6E8255FCE3B}" xr6:coauthVersionLast="47" xr6:coauthVersionMax="47" xr10:uidLastSave="{00000000-0000-0000-0000-000000000000}"/>
  <bookViews>
    <workbookView xWindow="-120" yWindow="-120" windowWidth="38640" windowHeight="21120" activeTab="9" xr2:uid="{EE3CEA3C-E0AB-4798-9327-7475EB2D7727}"/>
  </bookViews>
  <sheets>
    <sheet name="12345 0.523" sheetId="2" r:id="rId1"/>
    <sheet name="24690 0.495" sheetId="3" r:id="rId2"/>
    <sheet name="37035 0.583" sheetId="5" r:id="rId3"/>
    <sheet name="49380 0.394" sheetId="6" r:id="rId4"/>
    <sheet name="61725 0.593" sheetId="8" r:id="rId5"/>
    <sheet name="74070 0.463" sheetId="9" r:id="rId6"/>
    <sheet name="86415 0.351" sheetId="10" r:id="rId7"/>
    <sheet name="98760 0.675" sheetId="11" r:id="rId8"/>
    <sheet name="111105 0.521" sheetId="12" r:id="rId9"/>
    <sheet name="123450 0.361" sheetId="13" r:id="rId10"/>
    <sheet name="Sheet5" sheetId="15" r:id="rId11"/>
  </sheets>
  <definedNames>
    <definedName name="ExternalData_1" localSheetId="0" hidden="1">'12345 0.523'!$A$1:$K$41</definedName>
    <definedName name="ExternalData_1" localSheetId="1" hidden="1">'24690 0.495'!$A$1:$K$41</definedName>
    <definedName name="ExternalData_1" localSheetId="2" hidden="1">'37035 0.583'!$A$1:$K$41</definedName>
    <definedName name="ExternalData_1" localSheetId="4" hidden="1">'61725 0.593'!$A$1:$K$41</definedName>
    <definedName name="ExternalData_2" localSheetId="3" hidden="1">'49380 0.394'!$A$1:$K$41</definedName>
    <definedName name="ExternalData_2" localSheetId="5" hidden="1">'74070 0.463'!$A$1:$K$41</definedName>
    <definedName name="ExternalData_3" localSheetId="6" hidden="1">'86415 0.351'!$A$1:$K$41</definedName>
    <definedName name="ExternalData_4" localSheetId="7" hidden="1">'98760 0.675'!$A$1:$K$41</definedName>
    <definedName name="ExternalData_5" localSheetId="8" hidden="1">'111105 0.521'!$A$1:$K$41</definedName>
    <definedName name="ExternalData_6" localSheetId="9" hidden="1">'123450 0.361'!$A$1:$K$41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0" i="3" l="1"/>
  <c r="E90" i="3"/>
  <c r="F90" i="3"/>
  <c r="G90" i="3"/>
  <c r="H90" i="3"/>
  <c r="I90" i="3"/>
  <c r="J90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4" i="3"/>
  <c r="E94" i="3"/>
  <c r="F94" i="3"/>
  <c r="G94" i="3"/>
  <c r="H94" i="3"/>
  <c r="I94" i="3"/>
  <c r="J94" i="3"/>
  <c r="D95" i="3"/>
  <c r="E95" i="3"/>
  <c r="F95" i="3"/>
  <c r="G95" i="3"/>
  <c r="H95" i="3"/>
  <c r="I95" i="3"/>
  <c r="J95" i="3"/>
  <c r="D96" i="3"/>
  <c r="E96" i="3"/>
  <c r="F96" i="3"/>
  <c r="G96" i="3"/>
  <c r="H96" i="3"/>
  <c r="I96" i="3"/>
  <c r="J96" i="3"/>
  <c r="D97" i="3"/>
  <c r="E97" i="3"/>
  <c r="F97" i="3"/>
  <c r="G97" i="3"/>
  <c r="H97" i="3"/>
  <c r="I97" i="3"/>
  <c r="J97" i="3"/>
  <c r="D98" i="3"/>
  <c r="E98" i="3"/>
  <c r="F98" i="3"/>
  <c r="G98" i="3"/>
  <c r="H98" i="3"/>
  <c r="I98" i="3"/>
  <c r="J98" i="3"/>
  <c r="D99" i="3"/>
  <c r="E99" i="3"/>
  <c r="F99" i="3"/>
  <c r="G99" i="3"/>
  <c r="H99" i="3"/>
  <c r="I99" i="3"/>
  <c r="J99" i="3"/>
  <c r="D100" i="3"/>
  <c r="E100" i="3"/>
  <c r="F100" i="3"/>
  <c r="G100" i="3"/>
  <c r="H100" i="3"/>
  <c r="I100" i="3"/>
  <c r="J100" i="3"/>
  <c r="D101" i="3"/>
  <c r="E101" i="3"/>
  <c r="F101" i="3"/>
  <c r="G101" i="3"/>
  <c r="H101" i="3"/>
  <c r="I101" i="3"/>
  <c r="J101" i="3"/>
  <c r="D102" i="3"/>
  <c r="E102" i="3"/>
  <c r="F102" i="3"/>
  <c r="G102" i="3"/>
  <c r="H102" i="3"/>
  <c r="I102" i="3"/>
  <c r="J102" i="3"/>
  <c r="D103" i="3"/>
  <c r="E103" i="3"/>
  <c r="F103" i="3"/>
  <c r="G103" i="3"/>
  <c r="H103" i="3"/>
  <c r="I103" i="3"/>
  <c r="J103" i="3"/>
  <c r="D104" i="3"/>
  <c r="E104" i="3"/>
  <c r="F104" i="3"/>
  <c r="G104" i="3"/>
  <c r="H104" i="3"/>
  <c r="I104" i="3"/>
  <c r="J104" i="3"/>
  <c r="D105" i="3"/>
  <c r="E105" i="3"/>
  <c r="F105" i="3"/>
  <c r="G105" i="3"/>
  <c r="H105" i="3"/>
  <c r="I105" i="3"/>
  <c r="J105" i="3"/>
  <c r="D106" i="3"/>
  <c r="E106" i="3"/>
  <c r="F106" i="3"/>
  <c r="G106" i="3"/>
  <c r="H106" i="3"/>
  <c r="I106" i="3"/>
  <c r="J106" i="3"/>
  <c r="D107" i="3"/>
  <c r="E107" i="3"/>
  <c r="F107" i="3"/>
  <c r="G107" i="3"/>
  <c r="H107" i="3"/>
  <c r="I107" i="3"/>
  <c r="J107" i="3"/>
  <c r="D108" i="3"/>
  <c r="E108" i="3"/>
  <c r="F108" i="3"/>
  <c r="G108" i="3"/>
  <c r="H108" i="3"/>
  <c r="I108" i="3"/>
  <c r="J108" i="3"/>
  <c r="D109" i="3"/>
  <c r="E109" i="3"/>
  <c r="F109" i="3"/>
  <c r="G109" i="3"/>
  <c r="H109" i="3"/>
  <c r="I109" i="3"/>
  <c r="J109" i="3"/>
  <c r="D110" i="3"/>
  <c r="E110" i="3"/>
  <c r="F110" i="3"/>
  <c r="G110" i="3"/>
  <c r="H110" i="3"/>
  <c r="I110" i="3"/>
  <c r="J110" i="3"/>
  <c r="D111" i="3"/>
  <c r="E111" i="3"/>
  <c r="F111" i="3"/>
  <c r="G111" i="3"/>
  <c r="H111" i="3"/>
  <c r="I111" i="3"/>
  <c r="J111" i="3"/>
  <c r="D112" i="3"/>
  <c r="E112" i="3"/>
  <c r="F112" i="3"/>
  <c r="G112" i="3"/>
  <c r="H112" i="3"/>
  <c r="I112" i="3"/>
  <c r="J112" i="3"/>
  <c r="D113" i="3"/>
  <c r="E113" i="3"/>
  <c r="F113" i="3"/>
  <c r="G113" i="3"/>
  <c r="H113" i="3"/>
  <c r="I113" i="3"/>
  <c r="J113" i="3"/>
  <c r="D114" i="3"/>
  <c r="E114" i="3"/>
  <c r="F114" i="3"/>
  <c r="G114" i="3"/>
  <c r="H114" i="3"/>
  <c r="I114" i="3"/>
  <c r="J114" i="3"/>
  <c r="D115" i="3"/>
  <c r="E115" i="3"/>
  <c r="F115" i="3"/>
  <c r="G115" i="3"/>
  <c r="H115" i="3"/>
  <c r="I115" i="3"/>
  <c r="J115" i="3"/>
  <c r="D116" i="3"/>
  <c r="E116" i="3"/>
  <c r="F116" i="3"/>
  <c r="G116" i="3"/>
  <c r="H116" i="3"/>
  <c r="I116" i="3"/>
  <c r="J116" i="3"/>
  <c r="D117" i="3"/>
  <c r="E117" i="3"/>
  <c r="F117" i="3"/>
  <c r="G117" i="3"/>
  <c r="H117" i="3"/>
  <c r="I117" i="3"/>
  <c r="J117" i="3"/>
  <c r="D118" i="3"/>
  <c r="E118" i="3"/>
  <c r="F118" i="3"/>
  <c r="G118" i="3"/>
  <c r="H118" i="3"/>
  <c r="I118" i="3"/>
  <c r="J118" i="3"/>
  <c r="D119" i="3"/>
  <c r="E119" i="3"/>
  <c r="F119" i="3"/>
  <c r="G119" i="3"/>
  <c r="H119" i="3"/>
  <c r="I119" i="3"/>
  <c r="J119" i="3"/>
  <c r="D120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2" i="3"/>
  <c r="E122" i="3"/>
  <c r="F122" i="3"/>
  <c r="G122" i="3"/>
  <c r="H122" i="3"/>
  <c r="I122" i="3"/>
  <c r="J122" i="3"/>
  <c r="D123" i="3"/>
  <c r="E123" i="3"/>
  <c r="F123" i="3"/>
  <c r="G123" i="3"/>
  <c r="H123" i="3"/>
  <c r="I123" i="3"/>
  <c r="J123" i="3"/>
  <c r="D124" i="3"/>
  <c r="E124" i="3"/>
  <c r="F124" i="3"/>
  <c r="G124" i="3"/>
  <c r="H124" i="3"/>
  <c r="I124" i="3"/>
  <c r="J124" i="3"/>
  <c r="D125" i="3"/>
  <c r="E125" i="3"/>
  <c r="F125" i="3"/>
  <c r="G125" i="3"/>
  <c r="H125" i="3"/>
  <c r="I125" i="3"/>
  <c r="J125" i="3"/>
  <c r="D126" i="3"/>
  <c r="E126" i="3"/>
  <c r="F126" i="3"/>
  <c r="G126" i="3"/>
  <c r="H126" i="3"/>
  <c r="I126" i="3"/>
  <c r="J126" i="3"/>
  <c r="D90" i="5"/>
  <c r="E90" i="5"/>
  <c r="F90" i="5"/>
  <c r="G90" i="5"/>
  <c r="H90" i="5"/>
  <c r="I90" i="5"/>
  <c r="J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D100" i="5"/>
  <c r="E100" i="5"/>
  <c r="F100" i="5"/>
  <c r="G100" i="5"/>
  <c r="H100" i="5"/>
  <c r="I100" i="5"/>
  <c r="J100" i="5"/>
  <c r="D101" i="5"/>
  <c r="E101" i="5"/>
  <c r="F101" i="5"/>
  <c r="G101" i="5"/>
  <c r="H101" i="5"/>
  <c r="I101" i="5"/>
  <c r="J101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D112" i="5"/>
  <c r="E112" i="5"/>
  <c r="F112" i="5"/>
  <c r="G112" i="5"/>
  <c r="H112" i="5"/>
  <c r="I112" i="5"/>
  <c r="J112" i="5"/>
  <c r="D113" i="5"/>
  <c r="E113" i="5"/>
  <c r="F113" i="5"/>
  <c r="G113" i="5"/>
  <c r="H113" i="5"/>
  <c r="I113" i="5"/>
  <c r="J113" i="5"/>
  <c r="D114" i="5"/>
  <c r="E114" i="5"/>
  <c r="F114" i="5"/>
  <c r="G114" i="5"/>
  <c r="H114" i="5"/>
  <c r="I114" i="5"/>
  <c r="J114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90" i="6"/>
  <c r="E90" i="6"/>
  <c r="F90" i="6"/>
  <c r="G90" i="6"/>
  <c r="H90" i="6"/>
  <c r="I90" i="6"/>
  <c r="J90" i="6"/>
  <c r="D91" i="6"/>
  <c r="E91" i="6"/>
  <c r="F91" i="6"/>
  <c r="G91" i="6"/>
  <c r="H91" i="6"/>
  <c r="I91" i="6"/>
  <c r="J91" i="6"/>
  <c r="D92" i="6"/>
  <c r="E92" i="6"/>
  <c r="F92" i="6"/>
  <c r="G92" i="6"/>
  <c r="H92" i="6"/>
  <c r="I92" i="6"/>
  <c r="J92" i="6"/>
  <c r="D93" i="6"/>
  <c r="E93" i="6"/>
  <c r="F93" i="6"/>
  <c r="G93" i="6"/>
  <c r="H93" i="6"/>
  <c r="I93" i="6"/>
  <c r="J93" i="6"/>
  <c r="D94" i="6"/>
  <c r="E94" i="6"/>
  <c r="F94" i="6"/>
  <c r="G94" i="6"/>
  <c r="H94" i="6"/>
  <c r="I94" i="6"/>
  <c r="J94" i="6"/>
  <c r="D95" i="6"/>
  <c r="E95" i="6"/>
  <c r="F95" i="6"/>
  <c r="G95" i="6"/>
  <c r="H95" i="6"/>
  <c r="I95" i="6"/>
  <c r="J95" i="6"/>
  <c r="D96" i="6"/>
  <c r="E96" i="6"/>
  <c r="F96" i="6"/>
  <c r="G96" i="6"/>
  <c r="H96" i="6"/>
  <c r="I96" i="6"/>
  <c r="J96" i="6"/>
  <c r="D97" i="6"/>
  <c r="E97" i="6"/>
  <c r="F97" i="6"/>
  <c r="G97" i="6"/>
  <c r="H97" i="6"/>
  <c r="I97" i="6"/>
  <c r="J97" i="6"/>
  <c r="D98" i="6"/>
  <c r="E98" i="6"/>
  <c r="F98" i="6"/>
  <c r="G98" i="6"/>
  <c r="H98" i="6"/>
  <c r="I98" i="6"/>
  <c r="J98" i="6"/>
  <c r="D99" i="6"/>
  <c r="E99" i="6"/>
  <c r="F99" i="6"/>
  <c r="G99" i="6"/>
  <c r="H99" i="6"/>
  <c r="I99" i="6"/>
  <c r="J99" i="6"/>
  <c r="D100" i="6"/>
  <c r="E100" i="6"/>
  <c r="F100" i="6"/>
  <c r="G100" i="6"/>
  <c r="H100" i="6"/>
  <c r="I100" i="6"/>
  <c r="J100" i="6"/>
  <c r="D101" i="6"/>
  <c r="E101" i="6"/>
  <c r="F101" i="6"/>
  <c r="G101" i="6"/>
  <c r="H101" i="6"/>
  <c r="I101" i="6"/>
  <c r="J101" i="6"/>
  <c r="D102" i="6"/>
  <c r="E102" i="6"/>
  <c r="F102" i="6"/>
  <c r="G102" i="6"/>
  <c r="H102" i="6"/>
  <c r="I102" i="6"/>
  <c r="J102" i="6"/>
  <c r="D103" i="6"/>
  <c r="E103" i="6"/>
  <c r="F103" i="6"/>
  <c r="G103" i="6"/>
  <c r="H103" i="6"/>
  <c r="I103" i="6"/>
  <c r="J103" i="6"/>
  <c r="D104" i="6"/>
  <c r="E104" i="6"/>
  <c r="F104" i="6"/>
  <c r="G104" i="6"/>
  <c r="H104" i="6"/>
  <c r="I104" i="6"/>
  <c r="J104" i="6"/>
  <c r="D105" i="6"/>
  <c r="E105" i="6"/>
  <c r="F105" i="6"/>
  <c r="G105" i="6"/>
  <c r="H105" i="6"/>
  <c r="I105" i="6"/>
  <c r="J105" i="6"/>
  <c r="D106" i="6"/>
  <c r="E106" i="6"/>
  <c r="F106" i="6"/>
  <c r="G106" i="6"/>
  <c r="H106" i="6"/>
  <c r="I106" i="6"/>
  <c r="J106" i="6"/>
  <c r="D107" i="6"/>
  <c r="E107" i="6"/>
  <c r="F107" i="6"/>
  <c r="G107" i="6"/>
  <c r="H107" i="6"/>
  <c r="I107" i="6"/>
  <c r="J107" i="6"/>
  <c r="D108" i="6"/>
  <c r="E108" i="6"/>
  <c r="F108" i="6"/>
  <c r="G108" i="6"/>
  <c r="H108" i="6"/>
  <c r="I108" i="6"/>
  <c r="J108" i="6"/>
  <c r="D109" i="6"/>
  <c r="E109" i="6"/>
  <c r="F109" i="6"/>
  <c r="G109" i="6"/>
  <c r="H109" i="6"/>
  <c r="I109" i="6"/>
  <c r="J109" i="6"/>
  <c r="D110" i="6"/>
  <c r="E110" i="6"/>
  <c r="F110" i="6"/>
  <c r="G110" i="6"/>
  <c r="H110" i="6"/>
  <c r="I110" i="6"/>
  <c r="J110" i="6"/>
  <c r="D111" i="6"/>
  <c r="E111" i="6"/>
  <c r="F111" i="6"/>
  <c r="G111" i="6"/>
  <c r="H111" i="6"/>
  <c r="I111" i="6"/>
  <c r="J111" i="6"/>
  <c r="D112" i="6"/>
  <c r="E112" i="6"/>
  <c r="F112" i="6"/>
  <c r="G112" i="6"/>
  <c r="H112" i="6"/>
  <c r="I112" i="6"/>
  <c r="J112" i="6"/>
  <c r="D113" i="6"/>
  <c r="E113" i="6"/>
  <c r="F113" i="6"/>
  <c r="G113" i="6"/>
  <c r="H113" i="6"/>
  <c r="I113" i="6"/>
  <c r="J113" i="6"/>
  <c r="D114" i="6"/>
  <c r="E114" i="6"/>
  <c r="F114" i="6"/>
  <c r="G114" i="6"/>
  <c r="H114" i="6"/>
  <c r="I114" i="6"/>
  <c r="J114" i="6"/>
  <c r="D115" i="6"/>
  <c r="E115" i="6"/>
  <c r="F115" i="6"/>
  <c r="G115" i="6"/>
  <c r="H115" i="6"/>
  <c r="I115" i="6"/>
  <c r="J115" i="6"/>
  <c r="D116" i="6"/>
  <c r="E116" i="6"/>
  <c r="F116" i="6"/>
  <c r="G116" i="6"/>
  <c r="H116" i="6"/>
  <c r="I116" i="6"/>
  <c r="J116" i="6"/>
  <c r="D117" i="6"/>
  <c r="E117" i="6"/>
  <c r="F117" i="6"/>
  <c r="G117" i="6"/>
  <c r="H117" i="6"/>
  <c r="I117" i="6"/>
  <c r="J117" i="6"/>
  <c r="D118" i="6"/>
  <c r="E118" i="6"/>
  <c r="F118" i="6"/>
  <c r="G118" i="6"/>
  <c r="H118" i="6"/>
  <c r="I118" i="6"/>
  <c r="J118" i="6"/>
  <c r="D119" i="6"/>
  <c r="E119" i="6"/>
  <c r="F119" i="6"/>
  <c r="G119" i="6"/>
  <c r="H119" i="6"/>
  <c r="I119" i="6"/>
  <c r="J119" i="6"/>
  <c r="D120" i="6"/>
  <c r="E120" i="6"/>
  <c r="F120" i="6"/>
  <c r="G120" i="6"/>
  <c r="H120" i="6"/>
  <c r="I120" i="6"/>
  <c r="J120" i="6"/>
  <c r="D121" i="6"/>
  <c r="E121" i="6"/>
  <c r="F121" i="6"/>
  <c r="G121" i="6"/>
  <c r="H121" i="6"/>
  <c r="I121" i="6"/>
  <c r="J121" i="6"/>
  <c r="D122" i="6"/>
  <c r="E122" i="6"/>
  <c r="F122" i="6"/>
  <c r="G122" i="6"/>
  <c r="H122" i="6"/>
  <c r="I122" i="6"/>
  <c r="J122" i="6"/>
  <c r="D123" i="6"/>
  <c r="E123" i="6"/>
  <c r="F123" i="6"/>
  <c r="G123" i="6"/>
  <c r="H123" i="6"/>
  <c r="I123" i="6"/>
  <c r="J123" i="6"/>
  <c r="D124" i="6"/>
  <c r="E124" i="6"/>
  <c r="F124" i="6"/>
  <c r="G124" i="6"/>
  <c r="H124" i="6"/>
  <c r="I124" i="6"/>
  <c r="J124" i="6"/>
  <c r="D125" i="6"/>
  <c r="E125" i="6"/>
  <c r="F125" i="6"/>
  <c r="G125" i="6"/>
  <c r="H125" i="6"/>
  <c r="I125" i="6"/>
  <c r="J125" i="6"/>
  <c r="D126" i="6"/>
  <c r="E126" i="6"/>
  <c r="F126" i="6"/>
  <c r="G126" i="6"/>
  <c r="H126" i="6"/>
  <c r="I126" i="6"/>
  <c r="J126" i="6"/>
  <c r="D90" i="8"/>
  <c r="E90" i="8"/>
  <c r="F90" i="8"/>
  <c r="G90" i="8"/>
  <c r="H90" i="8"/>
  <c r="I90" i="8"/>
  <c r="J90" i="8"/>
  <c r="D91" i="8"/>
  <c r="E91" i="8"/>
  <c r="F91" i="8"/>
  <c r="G91" i="8"/>
  <c r="H91" i="8"/>
  <c r="I91" i="8"/>
  <c r="J91" i="8"/>
  <c r="D92" i="8"/>
  <c r="E92" i="8"/>
  <c r="F92" i="8"/>
  <c r="G92" i="8"/>
  <c r="H92" i="8"/>
  <c r="I92" i="8"/>
  <c r="J92" i="8"/>
  <c r="D93" i="8"/>
  <c r="E93" i="8"/>
  <c r="F93" i="8"/>
  <c r="G93" i="8"/>
  <c r="H93" i="8"/>
  <c r="I93" i="8"/>
  <c r="J93" i="8"/>
  <c r="D94" i="8"/>
  <c r="E94" i="8"/>
  <c r="F94" i="8"/>
  <c r="G94" i="8"/>
  <c r="H94" i="8"/>
  <c r="I94" i="8"/>
  <c r="J94" i="8"/>
  <c r="D95" i="8"/>
  <c r="E95" i="8"/>
  <c r="F95" i="8"/>
  <c r="G95" i="8"/>
  <c r="H95" i="8"/>
  <c r="I95" i="8"/>
  <c r="J95" i="8"/>
  <c r="D96" i="8"/>
  <c r="E96" i="8"/>
  <c r="F96" i="8"/>
  <c r="G96" i="8"/>
  <c r="H96" i="8"/>
  <c r="I96" i="8"/>
  <c r="J96" i="8"/>
  <c r="D97" i="8"/>
  <c r="E97" i="8"/>
  <c r="F97" i="8"/>
  <c r="G97" i="8"/>
  <c r="H97" i="8"/>
  <c r="I97" i="8"/>
  <c r="J97" i="8"/>
  <c r="D98" i="8"/>
  <c r="E98" i="8"/>
  <c r="F98" i="8"/>
  <c r="G98" i="8"/>
  <c r="H98" i="8"/>
  <c r="I98" i="8"/>
  <c r="J98" i="8"/>
  <c r="D99" i="8"/>
  <c r="E99" i="8"/>
  <c r="F99" i="8"/>
  <c r="G99" i="8"/>
  <c r="H99" i="8"/>
  <c r="I99" i="8"/>
  <c r="J99" i="8"/>
  <c r="D100" i="8"/>
  <c r="E100" i="8"/>
  <c r="F100" i="8"/>
  <c r="G100" i="8"/>
  <c r="H100" i="8"/>
  <c r="I100" i="8"/>
  <c r="J100" i="8"/>
  <c r="D101" i="8"/>
  <c r="E101" i="8"/>
  <c r="F101" i="8"/>
  <c r="G101" i="8"/>
  <c r="H101" i="8"/>
  <c r="I101" i="8"/>
  <c r="J101" i="8"/>
  <c r="D102" i="8"/>
  <c r="E102" i="8"/>
  <c r="F102" i="8"/>
  <c r="G102" i="8"/>
  <c r="H102" i="8"/>
  <c r="I102" i="8"/>
  <c r="J102" i="8"/>
  <c r="D103" i="8"/>
  <c r="E103" i="8"/>
  <c r="F103" i="8"/>
  <c r="G103" i="8"/>
  <c r="H103" i="8"/>
  <c r="I103" i="8"/>
  <c r="J103" i="8"/>
  <c r="D104" i="8"/>
  <c r="E104" i="8"/>
  <c r="F104" i="8"/>
  <c r="G104" i="8"/>
  <c r="H104" i="8"/>
  <c r="I104" i="8"/>
  <c r="J104" i="8"/>
  <c r="D105" i="8"/>
  <c r="E105" i="8"/>
  <c r="F105" i="8"/>
  <c r="G105" i="8"/>
  <c r="H105" i="8"/>
  <c r="I105" i="8"/>
  <c r="J105" i="8"/>
  <c r="D106" i="8"/>
  <c r="E106" i="8"/>
  <c r="F106" i="8"/>
  <c r="G106" i="8"/>
  <c r="H106" i="8"/>
  <c r="I106" i="8"/>
  <c r="J106" i="8"/>
  <c r="D107" i="8"/>
  <c r="E107" i="8"/>
  <c r="F107" i="8"/>
  <c r="G107" i="8"/>
  <c r="H107" i="8"/>
  <c r="I107" i="8"/>
  <c r="J107" i="8"/>
  <c r="D108" i="8"/>
  <c r="E108" i="8"/>
  <c r="F108" i="8"/>
  <c r="G108" i="8"/>
  <c r="H108" i="8"/>
  <c r="I108" i="8"/>
  <c r="J108" i="8"/>
  <c r="D109" i="8"/>
  <c r="E109" i="8"/>
  <c r="F109" i="8"/>
  <c r="G109" i="8"/>
  <c r="H109" i="8"/>
  <c r="I109" i="8"/>
  <c r="J109" i="8"/>
  <c r="D110" i="8"/>
  <c r="E110" i="8"/>
  <c r="F110" i="8"/>
  <c r="G110" i="8"/>
  <c r="H110" i="8"/>
  <c r="I110" i="8"/>
  <c r="J110" i="8"/>
  <c r="D111" i="8"/>
  <c r="E111" i="8"/>
  <c r="F111" i="8"/>
  <c r="G111" i="8"/>
  <c r="H111" i="8"/>
  <c r="I111" i="8"/>
  <c r="J111" i="8"/>
  <c r="D112" i="8"/>
  <c r="E112" i="8"/>
  <c r="F112" i="8"/>
  <c r="G112" i="8"/>
  <c r="H112" i="8"/>
  <c r="I112" i="8"/>
  <c r="J112" i="8"/>
  <c r="D113" i="8"/>
  <c r="E113" i="8"/>
  <c r="F113" i="8"/>
  <c r="G113" i="8"/>
  <c r="H113" i="8"/>
  <c r="I113" i="8"/>
  <c r="J113" i="8"/>
  <c r="D114" i="8"/>
  <c r="E114" i="8"/>
  <c r="F114" i="8"/>
  <c r="G114" i="8"/>
  <c r="H114" i="8"/>
  <c r="I114" i="8"/>
  <c r="J114" i="8"/>
  <c r="D115" i="8"/>
  <c r="E115" i="8"/>
  <c r="F115" i="8"/>
  <c r="G115" i="8"/>
  <c r="H115" i="8"/>
  <c r="I115" i="8"/>
  <c r="J115" i="8"/>
  <c r="D116" i="8"/>
  <c r="E116" i="8"/>
  <c r="F116" i="8"/>
  <c r="G116" i="8"/>
  <c r="H116" i="8"/>
  <c r="I116" i="8"/>
  <c r="J116" i="8"/>
  <c r="D117" i="8"/>
  <c r="E117" i="8"/>
  <c r="F117" i="8"/>
  <c r="G117" i="8"/>
  <c r="H117" i="8"/>
  <c r="I117" i="8"/>
  <c r="J117" i="8"/>
  <c r="D118" i="8"/>
  <c r="E118" i="8"/>
  <c r="F118" i="8"/>
  <c r="G118" i="8"/>
  <c r="H118" i="8"/>
  <c r="I118" i="8"/>
  <c r="J118" i="8"/>
  <c r="D119" i="8"/>
  <c r="E119" i="8"/>
  <c r="F119" i="8"/>
  <c r="G119" i="8"/>
  <c r="H119" i="8"/>
  <c r="I119" i="8"/>
  <c r="J119" i="8"/>
  <c r="D120" i="8"/>
  <c r="E120" i="8"/>
  <c r="F120" i="8"/>
  <c r="G120" i="8"/>
  <c r="H120" i="8"/>
  <c r="I120" i="8"/>
  <c r="J120" i="8"/>
  <c r="D121" i="8"/>
  <c r="E121" i="8"/>
  <c r="F121" i="8"/>
  <c r="G121" i="8"/>
  <c r="H121" i="8"/>
  <c r="I121" i="8"/>
  <c r="J121" i="8"/>
  <c r="D122" i="8"/>
  <c r="E122" i="8"/>
  <c r="F122" i="8"/>
  <c r="G122" i="8"/>
  <c r="H122" i="8"/>
  <c r="I122" i="8"/>
  <c r="J122" i="8"/>
  <c r="D123" i="8"/>
  <c r="E123" i="8"/>
  <c r="F123" i="8"/>
  <c r="G123" i="8"/>
  <c r="H123" i="8"/>
  <c r="I123" i="8"/>
  <c r="J123" i="8"/>
  <c r="D124" i="8"/>
  <c r="E124" i="8"/>
  <c r="F124" i="8"/>
  <c r="G124" i="8"/>
  <c r="H124" i="8"/>
  <c r="I124" i="8"/>
  <c r="J124" i="8"/>
  <c r="D125" i="8"/>
  <c r="E125" i="8"/>
  <c r="F125" i="8"/>
  <c r="G125" i="8"/>
  <c r="H125" i="8"/>
  <c r="I125" i="8"/>
  <c r="J125" i="8"/>
  <c r="D126" i="8"/>
  <c r="E126" i="8"/>
  <c r="F126" i="8"/>
  <c r="G126" i="8"/>
  <c r="H126" i="8"/>
  <c r="I126" i="8"/>
  <c r="J126" i="8"/>
  <c r="D90" i="9"/>
  <c r="E90" i="9"/>
  <c r="F90" i="9"/>
  <c r="G90" i="9"/>
  <c r="H90" i="9"/>
  <c r="I90" i="9"/>
  <c r="J90" i="9"/>
  <c r="D91" i="9"/>
  <c r="E91" i="9"/>
  <c r="F91" i="9"/>
  <c r="G91" i="9"/>
  <c r="H91" i="9"/>
  <c r="I91" i="9"/>
  <c r="J91" i="9"/>
  <c r="D92" i="9"/>
  <c r="E92" i="9"/>
  <c r="F92" i="9"/>
  <c r="G92" i="9"/>
  <c r="H92" i="9"/>
  <c r="I92" i="9"/>
  <c r="J92" i="9"/>
  <c r="D93" i="9"/>
  <c r="E93" i="9"/>
  <c r="F93" i="9"/>
  <c r="G93" i="9"/>
  <c r="H93" i="9"/>
  <c r="I93" i="9"/>
  <c r="J93" i="9"/>
  <c r="D94" i="9"/>
  <c r="E94" i="9"/>
  <c r="F94" i="9"/>
  <c r="G94" i="9"/>
  <c r="H94" i="9"/>
  <c r="I94" i="9"/>
  <c r="J94" i="9"/>
  <c r="D95" i="9"/>
  <c r="E95" i="9"/>
  <c r="F95" i="9"/>
  <c r="G95" i="9"/>
  <c r="H95" i="9"/>
  <c r="I95" i="9"/>
  <c r="J95" i="9"/>
  <c r="D96" i="9"/>
  <c r="E96" i="9"/>
  <c r="F96" i="9"/>
  <c r="G96" i="9"/>
  <c r="H96" i="9"/>
  <c r="I96" i="9"/>
  <c r="J96" i="9"/>
  <c r="D97" i="9"/>
  <c r="E97" i="9"/>
  <c r="F97" i="9"/>
  <c r="G97" i="9"/>
  <c r="H97" i="9"/>
  <c r="I97" i="9"/>
  <c r="J97" i="9"/>
  <c r="D98" i="9"/>
  <c r="E98" i="9"/>
  <c r="F98" i="9"/>
  <c r="G98" i="9"/>
  <c r="H98" i="9"/>
  <c r="I98" i="9"/>
  <c r="J98" i="9"/>
  <c r="D99" i="9"/>
  <c r="E99" i="9"/>
  <c r="F99" i="9"/>
  <c r="G99" i="9"/>
  <c r="H99" i="9"/>
  <c r="I99" i="9"/>
  <c r="J99" i="9"/>
  <c r="D100" i="9"/>
  <c r="E100" i="9"/>
  <c r="F100" i="9"/>
  <c r="G100" i="9"/>
  <c r="H100" i="9"/>
  <c r="I100" i="9"/>
  <c r="J100" i="9"/>
  <c r="D101" i="9"/>
  <c r="E101" i="9"/>
  <c r="F101" i="9"/>
  <c r="G101" i="9"/>
  <c r="H101" i="9"/>
  <c r="I101" i="9"/>
  <c r="J101" i="9"/>
  <c r="D102" i="9"/>
  <c r="E102" i="9"/>
  <c r="F102" i="9"/>
  <c r="G102" i="9"/>
  <c r="H102" i="9"/>
  <c r="I102" i="9"/>
  <c r="J102" i="9"/>
  <c r="D103" i="9"/>
  <c r="E103" i="9"/>
  <c r="F103" i="9"/>
  <c r="G103" i="9"/>
  <c r="H103" i="9"/>
  <c r="I103" i="9"/>
  <c r="J103" i="9"/>
  <c r="D104" i="9"/>
  <c r="E104" i="9"/>
  <c r="F104" i="9"/>
  <c r="G104" i="9"/>
  <c r="H104" i="9"/>
  <c r="I104" i="9"/>
  <c r="J104" i="9"/>
  <c r="D105" i="9"/>
  <c r="E105" i="9"/>
  <c r="F105" i="9"/>
  <c r="G105" i="9"/>
  <c r="H105" i="9"/>
  <c r="I105" i="9"/>
  <c r="J105" i="9"/>
  <c r="D106" i="9"/>
  <c r="E106" i="9"/>
  <c r="F106" i="9"/>
  <c r="G106" i="9"/>
  <c r="H106" i="9"/>
  <c r="I106" i="9"/>
  <c r="J106" i="9"/>
  <c r="D107" i="9"/>
  <c r="E107" i="9"/>
  <c r="F107" i="9"/>
  <c r="G107" i="9"/>
  <c r="H107" i="9"/>
  <c r="I107" i="9"/>
  <c r="J107" i="9"/>
  <c r="D108" i="9"/>
  <c r="E108" i="9"/>
  <c r="F108" i="9"/>
  <c r="G108" i="9"/>
  <c r="H108" i="9"/>
  <c r="I108" i="9"/>
  <c r="J108" i="9"/>
  <c r="D109" i="9"/>
  <c r="E109" i="9"/>
  <c r="F109" i="9"/>
  <c r="G109" i="9"/>
  <c r="H109" i="9"/>
  <c r="I109" i="9"/>
  <c r="J109" i="9"/>
  <c r="D110" i="9"/>
  <c r="E110" i="9"/>
  <c r="F110" i="9"/>
  <c r="G110" i="9"/>
  <c r="H110" i="9"/>
  <c r="I110" i="9"/>
  <c r="J110" i="9"/>
  <c r="D111" i="9"/>
  <c r="E111" i="9"/>
  <c r="F111" i="9"/>
  <c r="G111" i="9"/>
  <c r="H111" i="9"/>
  <c r="I111" i="9"/>
  <c r="J111" i="9"/>
  <c r="D112" i="9"/>
  <c r="E112" i="9"/>
  <c r="F112" i="9"/>
  <c r="G112" i="9"/>
  <c r="H112" i="9"/>
  <c r="I112" i="9"/>
  <c r="J112" i="9"/>
  <c r="D113" i="9"/>
  <c r="E113" i="9"/>
  <c r="F113" i="9"/>
  <c r="G113" i="9"/>
  <c r="H113" i="9"/>
  <c r="I113" i="9"/>
  <c r="J113" i="9"/>
  <c r="D114" i="9"/>
  <c r="E114" i="9"/>
  <c r="F114" i="9"/>
  <c r="G114" i="9"/>
  <c r="H114" i="9"/>
  <c r="I114" i="9"/>
  <c r="J114" i="9"/>
  <c r="D115" i="9"/>
  <c r="E115" i="9"/>
  <c r="F115" i="9"/>
  <c r="G115" i="9"/>
  <c r="H115" i="9"/>
  <c r="I115" i="9"/>
  <c r="J115" i="9"/>
  <c r="D116" i="9"/>
  <c r="E116" i="9"/>
  <c r="F116" i="9"/>
  <c r="G116" i="9"/>
  <c r="H116" i="9"/>
  <c r="I116" i="9"/>
  <c r="J116" i="9"/>
  <c r="D117" i="9"/>
  <c r="E117" i="9"/>
  <c r="F117" i="9"/>
  <c r="G117" i="9"/>
  <c r="H117" i="9"/>
  <c r="I117" i="9"/>
  <c r="J117" i="9"/>
  <c r="D118" i="9"/>
  <c r="E118" i="9"/>
  <c r="F118" i="9"/>
  <c r="G118" i="9"/>
  <c r="H118" i="9"/>
  <c r="I118" i="9"/>
  <c r="J118" i="9"/>
  <c r="D119" i="9"/>
  <c r="E119" i="9"/>
  <c r="F119" i="9"/>
  <c r="G119" i="9"/>
  <c r="H119" i="9"/>
  <c r="I119" i="9"/>
  <c r="J119" i="9"/>
  <c r="D120" i="9"/>
  <c r="E120" i="9"/>
  <c r="F120" i="9"/>
  <c r="G120" i="9"/>
  <c r="H120" i="9"/>
  <c r="I120" i="9"/>
  <c r="J120" i="9"/>
  <c r="D121" i="9"/>
  <c r="E121" i="9"/>
  <c r="F121" i="9"/>
  <c r="G121" i="9"/>
  <c r="H121" i="9"/>
  <c r="I121" i="9"/>
  <c r="J121" i="9"/>
  <c r="D122" i="9"/>
  <c r="E122" i="9"/>
  <c r="F122" i="9"/>
  <c r="G122" i="9"/>
  <c r="H122" i="9"/>
  <c r="I122" i="9"/>
  <c r="J122" i="9"/>
  <c r="D123" i="9"/>
  <c r="E123" i="9"/>
  <c r="F123" i="9"/>
  <c r="G123" i="9"/>
  <c r="H123" i="9"/>
  <c r="I123" i="9"/>
  <c r="J123" i="9"/>
  <c r="D124" i="9"/>
  <c r="E124" i="9"/>
  <c r="F124" i="9"/>
  <c r="G124" i="9"/>
  <c r="H124" i="9"/>
  <c r="I124" i="9"/>
  <c r="J124" i="9"/>
  <c r="D125" i="9"/>
  <c r="E125" i="9"/>
  <c r="F125" i="9"/>
  <c r="G125" i="9"/>
  <c r="H125" i="9"/>
  <c r="I125" i="9"/>
  <c r="J125" i="9"/>
  <c r="D126" i="9"/>
  <c r="E126" i="9"/>
  <c r="F126" i="9"/>
  <c r="G126" i="9"/>
  <c r="H126" i="9"/>
  <c r="I126" i="9"/>
  <c r="J126" i="9"/>
  <c r="D90" i="10"/>
  <c r="E90" i="10"/>
  <c r="F90" i="10"/>
  <c r="G90" i="10"/>
  <c r="H90" i="10"/>
  <c r="I90" i="10"/>
  <c r="J90" i="10"/>
  <c r="D91" i="10"/>
  <c r="E91" i="10"/>
  <c r="F91" i="10"/>
  <c r="G91" i="10"/>
  <c r="H91" i="10"/>
  <c r="I91" i="10"/>
  <c r="J91" i="10"/>
  <c r="D92" i="10"/>
  <c r="E92" i="10"/>
  <c r="F92" i="10"/>
  <c r="G92" i="10"/>
  <c r="H92" i="10"/>
  <c r="I92" i="10"/>
  <c r="J92" i="10"/>
  <c r="D93" i="10"/>
  <c r="E93" i="10"/>
  <c r="F93" i="10"/>
  <c r="G93" i="10"/>
  <c r="H93" i="10"/>
  <c r="I93" i="10"/>
  <c r="J93" i="10"/>
  <c r="D94" i="10"/>
  <c r="E94" i="10"/>
  <c r="F94" i="10"/>
  <c r="G94" i="10"/>
  <c r="H94" i="10"/>
  <c r="I94" i="10"/>
  <c r="J94" i="10"/>
  <c r="D95" i="10"/>
  <c r="E95" i="10"/>
  <c r="F95" i="10"/>
  <c r="G95" i="10"/>
  <c r="H95" i="10"/>
  <c r="I95" i="10"/>
  <c r="J95" i="10"/>
  <c r="D96" i="10"/>
  <c r="E96" i="10"/>
  <c r="F96" i="10"/>
  <c r="G96" i="10"/>
  <c r="H96" i="10"/>
  <c r="I96" i="10"/>
  <c r="J96" i="10"/>
  <c r="D97" i="10"/>
  <c r="E97" i="10"/>
  <c r="F97" i="10"/>
  <c r="G97" i="10"/>
  <c r="H97" i="10"/>
  <c r="I97" i="10"/>
  <c r="J97" i="10"/>
  <c r="D98" i="10"/>
  <c r="E98" i="10"/>
  <c r="F98" i="10"/>
  <c r="G98" i="10"/>
  <c r="H98" i="10"/>
  <c r="I98" i="10"/>
  <c r="J98" i="10"/>
  <c r="D99" i="10"/>
  <c r="E99" i="10"/>
  <c r="F99" i="10"/>
  <c r="G99" i="10"/>
  <c r="H99" i="10"/>
  <c r="I99" i="10"/>
  <c r="J99" i="10"/>
  <c r="D100" i="10"/>
  <c r="E100" i="10"/>
  <c r="F100" i="10"/>
  <c r="G100" i="10"/>
  <c r="H100" i="10"/>
  <c r="I100" i="10"/>
  <c r="J100" i="10"/>
  <c r="D101" i="10"/>
  <c r="E101" i="10"/>
  <c r="F101" i="10"/>
  <c r="G101" i="10"/>
  <c r="H101" i="10"/>
  <c r="I101" i="10"/>
  <c r="J101" i="10"/>
  <c r="D102" i="10"/>
  <c r="E102" i="10"/>
  <c r="F102" i="10"/>
  <c r="G102" i="10"/>
  <c r="H102" i="10"/>
  <c r="I102" i="10"/>
  <c r="J102" i="10"/>
  <c r="D103" i="10"/>
  <c r="E103" i="10"/>
  <c r="F103" i="10"/>
  <c r="G103" i="10"/>
  <c r="H103" i="10"/>
  <c r="I103" i="10"/>
  <c r="J103" i="10"/>
  <c r="D104" i="10"/>
  <c r="E104" i="10"/>
  <c r="F104" i="10"/>
  <c r="G104" i="10"/>
  <c r="H104" i="10"/>
  <c r="I104" i="10"/>
  <c r="J104" i="10"/>
  <c r="D105" i="10"/>
  <c r="E105" i="10"/>
  <c r="F105" i="10"/>
  <c r="G105" i="10"/>
  <c r="H105" i="10"/>
  <c r="I105" i="10"/>
  <c r="J105" i="10"/>
  <c r="D106" i="10"/>
  <c r="E106" i="10"/>
  <c r="F106" i="10"/>
  <c r="G106" i="10"/>
  <c r="H106" i="10"/>
  <c r="I106" i="10"/>
  <c r="J106" i="10"/>
  <c r="D107" i="10"/>
  <c r="E107" i="10"/>
  <c r="F107" i="10"/>
  <c r="G107" i="10"/>
  <c r="H107" i="10"/>
  <c r="I107" i="10"/>
  <c r="J107" i="10"/>
  <c r="D108" i="10"/>
  <c r="E108" i="10"/>
  <c r="F108" i="10"/>
  <c r="G108" i="10"/>
  <c r="H108" i="10"/>
  <c r="I108" i="10"/>
  <c r="J108" i="10"/>
  <c r="D109" i="10"/>
  <c r="E109" i="10"/>
  <c r="F109" i="10"/>
  <c r="G109" i="10"/>
  <c r="H109" i="10"/>
  <c r="I109" i="10"/>
  <c r="J109" i="10"/>
  <c r="D110" i="10"/>
  <c r="E110" i="10"/>
  <c r="F110" i="10"/>
  <c r="G110" i="10"/>
  <c r="H110" i="10"/>
  <c r="I110" i="10"/>
  <c r="J110" i="10"/>
  <c r="D111" i="10"/>
  <c r="E111" i="10"/>
  <c r="F111" i="10"/>
  <c r="G111" i="10"/>
  <c r="H111" i="10"/>
  <c r="I111" i="10"/>
  <c r="J111" i="10"/>
  <c r="D112" i="10"/>
  <c r="E112" i="10"/>
  <c r="F112" i="10"/>
  <c r="G112" i="10"/>
  <c r="H112" i="10"/>
  <c r="I112" i="10"/>
  <c r="J112" i="10"/>
  <c r="D113" i="10"/>
  <c r="E113" i="10"/>
  <c r="F113" i="10"/>
  <c r="G113" i="10"/>
  <c r="H113" i="10"/>
  <c r="I113" i="10"/>
  <c r="J113" i="10"/>
  <c r="D114" i="10"/>
  <c r="E114" i="10"/>
  <c r="F114" i="10"/>
  <c r="G114" i="10"/>
  <c r="H114" i="10"/>
  <c r="I114" i="10"/>
  <c r="J114" i="10"/>
  <c r="D115" i="10"/>
  <c r="E115" i="10"/>
  <c r="F115" i="10"/>
  <c r="G115" i="10"/>
  <c r="H115" i="10"/>
  <c r="I115" i="10"/>
  <c r="J115" i="10"/>
  <c r="D116" i="10"/>
  <c r="E116" i="10"/>
  <c r="F116" i="10"/>
  <c r="G116" i="10"/>
  <c r="H116" i="10"/>
  <c r="I116" i="10"/>
  <c r="J116" i="10"/>
  <c r="D117" i="10"/>
  <c r="E117" i="10"/>
  <c r="F117" i="10"/>
  <c r="G117" i="10"/>
  <c r="H117" i="10"/>
  <c r="I117" i="10"/>
  <c r="J117" i="10"/>
  <c r="D118" i="10"/>
  <c r="E118" i="10"/>
  <c r="F118" i="10"/>
  <c r="G118" i="10"/>
  <c r="H118" i="10"/>
  <c r="I118" i="10"/>
  <c r="J118" i="10"/>
  <c r="D119" i="10"/>
  <c r="E119" i="10"/>
  <c r="F119" i="10"/>
  <c r="G119" i="10"/>
  <c r="H119" i="10"/>
  <c r="I119" i="10"/>
  <c r="J119" i="10"/>
  <c r="D120" i="10"/>
  <c r="E120" i="10"/>
  <c r="F120" i="10"/>
  <c r="G120" i="10"/>
  <c r="H120" i="10"/>
  <c r="I120" i="10"/>
  <c r="J120" i="10"/>
  <c r="D121" i="10"/>
  <c r="E121" i="10"/>
  <c r="F121" i="10"/>
  <c r="G121" i="10"/>
  <c r="H121" i="10"/>
  <c r="I121" i="10"/>
  <c r="J121" i="10"/>
  <c r="D122" i="10"/>
  <c r="E122" i="10"/>
  <c r="F122" i="10"/>
  <c r="G122" i="10"/>
  <c r="H122" i="10"/>
  <c r="I122" i="10"/>
  <c r="J122" i="10"/>
  <c r="D123" i="10"/>
  <c r="E123" i="10"/>
  <c r="F123" i="10"/>
  <c r="G123" i="10"/>
  <c r="H123" i="10"/>
  <c r="I123" i="10"/>
  <c r="J123" i="10"/>
  <c r="D124" i="10"/>
  <c r="E124" i="10"/>
  <c r="F124" i="10"/>
  <c r="G124" i="10"/>
  <c r="H124" i="10"/>
  <c r="I124" i="10"/>
  <c r="J124" i="10"/>
  <c r="D125" i="10"/>
  <c r="E125" i="10"/>
  <c r="F125" i="10"/>
  <c r="G125" i="10"/>
  <c r="H125" i="10"/>
  <c r="I125" i="10"/>
  <c r="J125" i="10"/>
  <c r="D126" i="10"/>
  <c r="E126" i="10"/>
  <c r="F126" i="10"/>
  <c r="G126" i="10"/>
  <c r="H126" i="10"/>
  <c r="I126" i="10"/>
  <c r="J126" i="10"/>
  <c r="D90" i="11"/>
  <c r="E90" i="11"/>
  <c r="F90" i="11"/>
  <c r="G90" i="11"/>
  <c r="H90" i="11"/>
  <c r="I90" i="11"/>
  <c r="J90" i="11"/>
  <c r="D91" i="11"/>
  <c r="E91" i="11"/>
  <c r="F91" i="11"/>
  <c r="G91" i="11"/>
  <c r="H91" i="11"/>
  <c r="I91" i="11"/>
  <c r="J91" i="11"/>
  <c r="D92" i="11"/>
  <c r="E92" i="11"/>
  <c r="F92" i="11"/>
  <c r="G92" i="11"/>
  <c r="H92" i="11"/>
  <c r="I92" i="11"/>
  <c r="J92" i="11"/>
  <c r="D93" i="11"/>
  <c r="E93" i="11"/>
  <c r="F93" i="11"/>
  <c r="G93" i="11"/>
  <c r="H93" i="11"/>
  <c r="I93" i="11"/>
  <c r="J93" i="11"/>
  <c r="D94" i="11"/>
  <c r="E94" i="11"/>
  <c r="F94" i="11"/>
  <c r="G94" i="11"/>
  <c r="H94" i="11"/>
  <c r="I94" i="11"/>
  <c r="J94" i="11"/>
  <c r="D95" i="11"/>
  <c r="E95" i="11"/>
  <c r="F95" i="11"/>
  <c r="G95" i="11"/>
  <c r="H95" i="11"/>
  <c r="I95" i="11"/>
  <c r="J95" i="11"/>
  <c r="D96" i="11"/>
  <c r="E96" i="11"/>
  <c r="F96" i="11"/>
  <c r="G96" i="11"/>
  <c r="H96" i="11"/>
  <c r="I96" i="11"/>
  <c r="J96" i="11"/>
  <c r="D97" i="11"/>
  <c r="E97" i="11"/>
  <c r="F97" i="11"/>
  <c r="G97" i="11"/>
  <c r="H97" i="11"/>
  <c r="I97" i="11"/>
  <c r="J97" i="11"/>
  <c r="D98" i="11"/>
  <c r="E98" i="11"/>
  <c r="F98" i="11"/>
  <c r="G98" i="11"/>
  <c r="H98" i="11"/>
  <c r="I98" i="11"/>
  <c r="J98" i="11"/>
  <c r="D99" i="11"/>
  <c r="E99" i="11"/>
  <c r="F99" i="11"/>
  <c r="G99" i="11"/>
  <c r="H99" i="11"/>
  <c r="I99" i="11"/>
  <c r="J99" i="11"/>
  <c r="D100" i="11"/>
  <c r="E100" i="11"/>
  <c r="F100" i="11"/>
  <c r="G100" i="11"/>
  <c r="H100" i="11"/>
  <c r="I100" i="11"/>
  <c r="J100" i="11"/>
  <c r="D101" i="11"/>
  <c r="E101" i="11"/>
  <c r="F101" i="11"/>
  <c r="G101" i="11"/>
  <c r="H101" i="11"/>
  <c r="I101" i="11"/>
  <c r="J101" i="11"/>
  <c r="D102" i="11"/>
  <c r="E102" i="11"/>
  <c r="F102" i="11"/>
  <c r="G102" i="11"/>
  <c r="H102" i="11"/>
  <c r="I102" i="11"/>
  <c r="J102" i="11"/>
  <c r="D103" i="11"/>
  <c r="E103" i="11"/>
  <c r="F103" i="11"/>
  <c r="G103" i="11"/>
  <c r="H103" i="11"/>
  <c r="I103" i="11"/>
  <c r="J103" i="11"/>
  <c r="D104" i="11"/>
  <c r="E104" i="11"/>
  <c r="F104" i="11"/>
  <c r="G104" i="11"/>
  <c r="H104" i="11"/>
  <c r="I104" i="11"/>
  <c r="J104" i="11"/>
  <c r="D105" i="11"/>
  <c r="E105" i="11"/>
  <c r="F105" i="11"/>
  <c r="G105" i="11"/>
  <c r="H105" i="11"/>
  <c r="I105" i="11"/>
  <c r="J105" i="11"/>
  <c r="D106" i="11"/>
  <c r="E106" i="11"/>
  <c r="F106" i="11"/>
  <c r="G106" i="11"/>
  <c r="H106" i="11"/>
  <c r="I106" i="11"/>
  <c r="J106" i="11"/>
  <c r="D107" i="11"/>
  <c r="E107" i="11"/>
  <c r="F107" i="11"/>
  <c r="G107" i="11"/>
  <c r="H107" i="11"/>
  <c r="I107" i="11"/>
  <c r="J107" i="11"/>
  <c r="D108" i="11"/>
  <c r="E108" i="11"/>
  <c r="F108" i="11"/>
  <c r="G108" i="11"/>
  <c r="H108" i="11"/>
  <c r="I108" i="11"/>
  <c r="J108" i="11"/>
  <c r="D109" i="11"/>
  <c r="E109" i="11"/>
  <c r="F109" i="11"/>
  <c r="G109" i="11"/>
  <c r="H109" i="11"/>
  <c r="I109" i="11"/>
  <c r="J109" i="11"/>
  <c r="D110" i="11"/>
  <c r="E110" i="11"/>
  <c r="F110" i="11"/>
  <c r="G110" i="11"/>
  <c r="H110" i="11"/>
  <c r="I110" i="11"/>
  <c r="J110" i="11"/>
  <c r="D111" i="11"/>
  <c r="E111" i="11"/>
  <c r="F111" i="11"/>
  <c r="G111" i="11"/>
  <c r="H111" i="11"/>
  <c r="I111" i="11"/>
  <c r="J111" i="11"/>
  <c r="D112" i="11"/>
  <c r="E112" i="11"/>
  <c r="F112" i="11"/>
  <c r="G112" i="11"/>
  <c r="H112" i="11"/>
  <c r="I112" i="11"/>
  <c r="J112" i="11"/>
  <c r="D113" i="11"/>
  <c r="E113" i="11"/>
  <c r="F113" i="11"/>
  <c r="G113" i="11"/>
  <c r="H113" i="11"/>
  <c r="I113" i="11"/>
  <c r="J113" i="11"/>
  <c r="D114" i="11"/>
  <c r="E114" i="11"/>
  <c r="F114" i="11"/>
  <c r="G114" i="11"/>
  <c r="H114" i="11"/>
  <c r="I114" i="11"/>
  <c r="J114" i="11"/>
  <c r="D115" i="11"/>
  <c r="E115" i="11"/>
  <c r="F115" i="11"/>
  <c r="G115" i="11"/>
  <c r="H115" i="11"/>
  <c r="I115" i="11"/>
  <c r="J115" i="11"/>
  <c r="D116" i="11"/>
  <c r="E116" i="11"/>
  <c r="F116" i="11"/>
  <c r="G116" i="11"/>
  <c r="H116" i="11"/>
  <c r="I116" i="11"/>
  <c r="J116" i="11"/>
  <c r="D117" i="11"/>
  <c r="E117" i="11"/>
  <c r="F117" i="11"/>
  <c r="G117" i="11"/>
  <c r="H117" i="11"/>
  <c r="I117" i="11"/>
  <c r="J117" i="11"/>
  <c r="D118" i="11"/>
  <c r="E118" i="11"/>
  <c r="F118" i="11"/>
  <c r="G118" i="11"/>
  <c r="H118" i="11"/>
  <c r="I118" i="11"/>
  <c r="J118" i="11"/>
  <c r="D119" i="11"/>
  <c r="E119" i="11"/>
  <c r="F119" i="11"/>
  <c r="G119" i="11"/>
  <c r="H119" i="11"/>
  <c r="I119" i="11"/>
  <c r="J119" i="11"/>
  <c r="D120" i="11"/>
  <c r="E120" i="11"/>
  <c r="F120" i="11"/>
  <c r="G120" i="11"/>
  <c r="H120" i="11"/>
  <c r="I120" i="11"/>
  <c r="J120" i="11"/>
  <c r="D121" i="11"/>
  <c r="E121" i="11"/>
  <c r="F121" i="11"/>
  <c r="G121" i="11"/>
  <c r="H121" i="11"/>
  <c r="I121" i="11"/>
  <c r="J121" i="11"/>
  <c r="D122" i="11"/>
  <c r="E122" i="11"/>
  <c r="F122" i="11"/>
  <c r="G122" i="11"/>
  <c r="H122" i="11"/>
  <c r="I122" i="11"/>
  <c r="J122" i="11"/>
  <c r="D123" i="11"/>
  <c r="E123" i="11"/>
  <c r="F123" i="11"/>
  <c r="G123" i="11"/>
  <c r="H123" i="11"/>
  <c r="I123" i="11"/>
  <c r="J123" i="11"/>
  <c r="D124" i="11"/>
  <c r="E124" i="11"/>
  <c r="F124" i="11"/>
  <c r="G124" i="11"/>
  <c r="H124" i="11"/>
  <c r="I124" i="11"/>
  <c r="J124" i="11"/>
  <c r="D125" i="11"/>
  <c r="E125" i="11"/>
  <c r="F125" i="11"/>
  <c r="G125" i="11"/>
  <c r="H125" i="11"/>
  <c r="I125" i="11"/>
  <c r="J125" i="11"/>
  <c r="D126" i="11"/>
  <c r="E126" i="11"/>
  <c r="F126" i="11"/>
  <c r="G126" i="11"/>
  <c r="H126" i="11"/>
  <c r="I126" i="11"/>
  <c r="J126" i="11"/>
  <c r="D90" i="12"/>
  <c r="E90" i="12"/>
  <c r="F90" i="12"/>
  <c r="G90" i="12"/>
  <c r="H90" i="12"/>
  <c r="I90" i="12"/>
  <c r="J90" i="12"/>
  <c r="D91" i="12"/>
  <c r="E91" i="12"/>
  <c r="F91" i="12"/>
  <c r="G91" i="12"/>
  <c r="H91" i="12"/>
  <c r="I91" i="12"/>
  <c r="J91" i="12"/>
  <c r="D92" i="12"/>
  <c r="E92" i="12"/>
  <c r="F92" i="12"/>
  <c r="G92" i="12"/>
  <c r="H92" i="12"/>
  <c r="I92" i="12"/>
  <c r="J92" i="12"/>
  <c r="D93" i="12"/>
  <c r="E93" i="12"/>
  <c r="F93" i="12"/>
  <c r="G93" i="12"/>
  <c r="H93" i="12"/>
  <c r="I93" i="12"/>
  <c r="J93" i="12"/>
  <c r="D94" i="12"/>
  <c r="E94" i="12"/>
  <c r="F94" i="12"/>
  <c r="G94" i="12"/>
  <c r="H94" i="12"/>
  <c r="I94" i="12"/>
  <c r="J94" i="12"/>
  <c r="D95" i="12"/>
  <c r="E95" i="12"/>
  <c r="F95" i="12"/>
  <c r="G95" i="12"/>
  <c r="H95" i="12"/>
  <c r="I95" i="12"/>
  <c r="J95" i="12"/>
  <c r="D96" i="12"/>
  <c r="E96" i="12"/>
  <c r="F96" i="12"/>
  <c r="G96" i="12"/>
  <c r="H96" i="12"/>
  <c r="I96" i="12"/>
  <c r="J96" i="12"/>
  <c r="D97" i="12"/>
  <c r="E97" i="12"/>
  <c r="F97" i="12"/>
  <c r="G97" i="12"/>
  <c r="H97" i="12"/>
  <c r="I97" i="12"/>
  <c r="J97" i="12"/>
  <c r="D98" i="12"/>
  <c r="E98" i="12"/>
  <c r="F98" i="12"/>
  <c r="G98" i="12"/>
  <c r="H98" i="12"/>
  <c r="I98" i="12"/>
  <c r="J98" i="12"/>
  <c r="D99" i="12"/>
  <c r="E99" i="12"/>
  <c r="F99" i="12"/>
  <c r="G99" i="12"/>
  <c r="H99" i="12"/>
  <c r="I99" i="12"/>
  <c r="J99" i="12"/>
  <c r="D100" i="12"/>
  <c r="E100" i="12"/>
  <c r="F100" i="12"/>
  <c r="G100" i="12"/>
  <c r="H100" i="12"/>
  <c r="I100" i="12"/>
  <c r="J100" i="12"/>
  <c r="D101" i="12"/>
  <c r="E101" i="12"/>
  <c r="F101" i="12"/>
  <c r="G101" i="12"/>
  <c r="H101" i="12"/>
  <c r="I101" i="12"/>
  <c r="J101" i="12"/>
  <c r="D102" i="12"/>
  <c r="E102" i="12"/>
  <c r="F102" i="12"/>
  <c r="G102" i="12"/>
  <c r="H102" i="12"/>
  <c r="I102" i="12"/>
  <c r="J102" i="12"/>
  <c r="D103" i="12"/>
  <c r="E103" i="12"/>
  <c r="F103" i="12"/>
  <c r="G103" i="12"/>
  <c r="H103" i="12"/>
  <c r="I103" i="12"/>
  <c r="J103" i="12"/>
  <c r="D104" i="12"/>
  <c r="E104" i="12"/>
  <c r="F104" i="12"/>
  <c r="G104" i="12"/>
  <c r="H104" i="12"/>
  <c r="I104" i="12"/>
  <c r="J104" i="12"/>
  <c r="D105" i="12"/>
  <c r="E105" i="12"/>
  <c r="F105" i="12"/>
  <c r="G105" i="12"/>
  <c r="H105" i="12"/>
  <c r="I105" i="12"/>
  <c r="J105" i="12"/>
  <c r="D106" i="12"/>
  <c r="E106" i="12"/>
  <c r="F106" i="12"/>
  <c r="G106" i="12"/>
  <c r="H106" i="12"/>
  <c r="I106" i="12"/>
  <c r="J106" i="12"/>
  <c r="D107" i="12"/>
  <c r="E107" i="12"/>
  <c r="F107" i="12"/>
  <c r="G107" i="12"/>
  <c r="H107" i="12"/>
  <c r="I107" i="12"/>
  <c r="J107" i="12"/>
  <c r="D108" i="12"/>
  <c r="E108" i="12"/>
  <c r="F108" i="12"/>
  <c r="G108" i="12"/>
  <c r="H108" i="12"/>
  <c r="I108" i="12"/>
  <c r="J108" i="12"/>
  <c r="D109" i="12"/>
  <c r="E109" i="12"/>
  <c r="F109" i="12"/>
  <c r="G109" i="12"/>
  <c r="H109" i="12"/>
  <c r="I109" i="12"/>
  <c r="J109" i="12"/>
  <c r="D110" i="12"/>
  <c r="E110" i="12"/>
  <c r="F110" i="12"/>
  <c r="G110" i="12"/>
  <c r="H110" i="12"/>
  <c r="I110" i="12"/>
  <c r="J110" i="12"/>
  <c r="D111" i="12"/>
  <c r="E111" i="12"/>
  <c r="F111" i="12"/>
  <c r="G111" i="12"/>
  <c r="H111" i="12"/>
  <c r="I111" i="12"/>
  <c r="J111" i="12"/>
  <c r="D112" i="12"/>
  <c r="E112" i="12"/>
  <c r="F112" i="12"/>
  <c r="G112" i="12"/>
  <c r="H112" i="12"/>
  <c r="I112" i="12"/>
  <c r="J112" i="12"/>
  <c r="D113" i="12"/>
  <c r="E113" i="12"/>
  <c r="F113" i="12"/>
  <c r="G113" i="12"/>
  <c r="H113" i="12"/>
  <c r="I113" i="12"/>
  <c r="J113" i="12"/>
  <c r="D114" i="12"/>
  <c r="E114" i="12"/>
  <c r="F114" i="12"/>
  <c r="G114" i="12"/>
  <c r="H114" i="12"/>
  <c r="I114" i="12"/>
  <c r="J114" i="12"/>
  <c r="D115" i="12"/>
  <c r="E115" i="12"/>
  <c r="F115" i="12"/>
  <c r="G115" i="12"/>
  <c r="H115" i="12"/>
  <c r="I115" i="12"/>
  <c r="J115" i="12"/>
  <c r="D116" i="12"/>
  <c r="E116" i="12"/>
  <c r="F116" i="12"/>
  <c r="G116" i="12"/>
  <c r="H116" i="12"/>
  <c r="I116" i="12"/>
  <c r="J116" i="12"/>
  <c r="D117" i="12"/>
  <c r="E117" i="12"/>
  <c r="F117" i="12"/>
  <c r="G117" i="12"/>
  <c r="H117" i="12"/>
  <c r="I117" i="12"/>
  <c r="J117" i="12"/>
  <c r="D118" i="12"/>
  <c r="E118" i="12"/>
  <c r="F118" i="12"/>
  <c r="G118" i="12"/>
  <c r="H118" i="12"/>
  <c r="I118" i="12"/>
  <c r="J118" i="12"/>
  <c r="D119" i="12"/>
  <c r="E119" i="12"/>
  <c r="F119" i="12"/>
  <c r="G119" i="12"/>
  <c r="H119" i="12"/>
  <c r="I119" i="12"/>
  <c r="J119" i="12"/>
  <c r="D120" i="12"/>
  <c r="E120" i="12"/>
  <c r="F120" i="12"/>
  <c r="G120" i="12"/>
  <c r="H120" i="12"/>
  <c r="I120" i="12"/>
  <c r="J120" i="12"/>
  <c r="D121" i="12"/>
  <c r="E121" i="12"/>
  <c r="F121" i="12"/>
  <c r="G121" i="12"/>
  <c r="H121" i="12"/>
  <c r="I121" i="12"/>
  <c r="J121" i="12"/>
  <c r="D122" i="12"/>
  <c r="E122" i="12"/>
  <c r="F122" i="12"/>
  <c r="G122" i="12"/>
  <c r="H122" i="12"/>
  <c r="I122" i="12"/>
  <c r="J122" i="12"/>
  <c r="D123" i="12"/>
  <c r="E123" i="12"/>
  <c r="F123" i="12"/>
  <c r="G123" i="12"/>
  <c r="H123" i="12"/>
  <c r="I123" i="12"/>
  <c r="J123" i="12"/>
  <c r="D124" i="12"/>
  <c r="E124" i="12"/>
  <c r="F124" i="12"/>
  <c r="G124" i="12"/>
  <c r="H124" i="12"/>
  <c r="I124" i="12"/>
  <c r="J124" i="12"/>
  <c r="D125" i="12"/>
  <c r="E125" i="12"/>
  <c r="F125" i="12"/>
  <c r="G125" i="12"/>
  <c r="H125" i="12"/>
  <c r="I125" i="12"/>
  <c r="J125" i="12"/>
  <c r="D126" i="12"/>
  <c r="E126" i="12"/>
  <c r="F126" i="12"/>
  <c r="G126" i="12"/>
  <c r="H126" i="12"/>
  <c r="I126" i="12"/>
  <c r="J126" i="12"/>
  <c r="D90" i="13"/>
  <c r="E90" i="13"/>
  <c r="F90" i="13"/>
  <c r="G90" i="13"/>
  <c r="H90" i="13"/>
  <c r="I90" i="13"/>
  <c r="J90" i="13"/>
  <c r="D91" i="13"/>
  <c r="E91" i="13"/>
  <c r="F91" i="13"/>
  <c r="G91" i="13"/>
  <c r="H91" i="13"/>
  <c r="I91" i="13"/>
  <c r="J91" i="13"/>
  <c r="D92" i="13"/>
  <c r="E92" i="13"/>
  <c r="F92" i="13"/>
  <c r="G92" i="13"/>
  <c r="H92" i="13"/>
  <c r="I92" i="13"/>
  <c r="J92" i="13"/>
  <c r="D93" i="13"/>
  <c r="E93" i="13"/>
  <c r="F93" i="13"/>
  <c r="G93" i="13"/>
  <c r="H93" i="13"/>
  <c r="I93" i="13"/>
  <c r="J93" i="13"/>
  <c r="D94" i="13"/>
  <c r="E94" i="13"/>
  <c r="F94" i="13"/>
  <c r="G94" i="13"/>
  <c r="H94" i="13"/>
  <c r="I94" i="13"/>
  <c r="J94" i="13"/>
  <c r="D95" i="13"/>
  <c r="E95" i="13"/>
  <c r="F95" i="13"/>
  <c r="G95" i="13"/>
  <c r="H95" i="13"/>
  <c r="I95" i="13"/>
  <c r="J95" i="13"/>
  <c r="D96" i="13"/>
  <c r="E96" i="13"/>
  <c r="F96" i="13"/>
  <c r="G96" i="13"/>
  <c r="H96" i="13"/>
  <c r="I96" i="13"/>
  <c r="J96" i="13"/>
  <c r="D97" i="13"/>
  <c r="E97" i="13"/>
  <c r="F97" i="13"/>
  <c r="G97" i="13"/>
  <c r="H97" i="13"/>
  <c r="I97" i="13"/>
  <c r="J97" i="13"/>
  <c r="D98" i="13"/>
  <c r="E98" i="13"/>
  <c r="F98" i="13"/>
  <c r="G98" i="13"/>
  <c r="H98" i="13"/>
  <c r="I98" i="13"/>
  <c r="J98" i="13"/>
  <c r="D99" i="13"/>
  <c r="E99" i="13"/>
  <c r="F99" i="13"/>
  <c r="G99" i="13"/>
  <c r="H99" i="13"/>
  <c r="I99" i="13"/>
  <c r="J99" i="13"/>
  <c r="D100" i="13"/>
  <c r="E100" i="13"/>
  <c r="F100" i="13"/>
  <c r="G100" i="13"/>
  <c r="H100" i="13"/>
  <c r="I100" i="13"/>
  <c r="J100" i="13"/>
  <c r="D101" i="13"/>
  <c r="E101" i="13"/>
  <c r="F101" i="13"/>
  <c r="G101" i="13"/>
  <c r="H101" i="13"/>
  <c r="I101" i="13"/>
  <c r="J101" i="13"/>
  <c r="D102" i="13"/>
  <c r="E102" i="13"/>
  <c r="F102" i="13"/>
  <c r="G102" i="13"/>
  <c r="H102" i="13"/>
  <c r="I102" i="13"/>
  <c r="J102" i="13"/>
  <c r="D103" i="13"/>
  <c r="E103" i="13"/>
  <c r="F103" i="13"/>
  <c r="G103" i="13"/>
  <c r="H103" i="13"/>
  <c r="I103" i="13"/>
  <c r="J103" i="13"/>
  <c r="D104" i="13"/>
  <c r="E104" i="13"/>
  <c r="F104" i="13"/>
  <c r="G104" i="13"/>
  <c r="H104" i="13"/>
  <c r="I104" i="13"/>
  <c r="J104" i="13"/>
  <c r="D105" i="13"/>
  <c r="E105" i="13"/>
  <c r="F105" i="13"/>
  <c r="G105" i="13"/>
  <c r="H105" i="13"/>
  <c r="I105" i="13"/>
  <c r="J105" i="13"/>
  <c r="D106" i="13"/>
  <c r="E106" i="13"/>
  <c r="F106" i="13"/>
  <c r="G106" i="13"/>
  <c r="H106" i="13"/>
  <c r="I106" i="13"/>
  <c r="J106" i="13"/>
  <c r="D107" i="13"/>
  <c r="E107" i="13"/>
  <c r="F107" i="13"/>
  <c r="G107" i="13"/>
  <c r="H107" i="13"/>
  <c r="I107" i="13"/>
  <c r="J107" i="13"/>
  <c r="D108" i="13"/>
  <c r="E108" i="13"/>
  <c r="F108" i="13"/>
  <c r="G108" i="13"/>
  <c r="H108" i="13"/>
  <c r="I108" i="13"/>
  <c r="J108" i="13"/>
  <c r="D109" i="13"/>
  <c r="E109" i="13"/>
  <c r="F109" i="13"/>
  <c r="G109" i="13"/>
  <c r="H109" i="13"/>
  <c r="I109" i="13"/>
  <c r="J109" i="13"/>
  <c r="D110" i="13"/>
  <c r="E110" i="13"/>
  <c r="F110" i="13"/>
  <c r="G110" i="13"/>
  <c r="H110" i="13"/>
  <c r="I110" i="13"/>
  <c r="J110" i="13"/>
  <c r="D111" i="13"/>
  <c r="E111" i="13"/>
  <c r="F111" i="13"/>
  <c r="G111" i="13"/>
  <c r="H111" i="13"/>
  <c r="I111" i="13"/>
  <c r="J111" i="13"/>
  <c r="D112" i="13"/>
  <c r="E112" i="13"/>
  <c r="F112" i="13"/>
  <c r="G112" i="13"/>
  <c r="H112" i="13"/>
  <c r="I112" i="13"/>
  <c r="J112" i="13"/>
  <c r="D113" i="13"/>
  <c r="E113" i="13"/>
  <c r="F113" i="13"/>
  <c r="G113" i="13"/>
  <c r="H113" i="13"/>
  <c r="I113" i="13"/>
  <c r="J113" i="13"/>
  <c r="D114" i="13"/>
  <c r="E114" i="13"/>
  <c r="F114" i="13"/>
  <c r="G114" i="13"/>
  <c r="H114" i="13"/>
  <c r="I114" i="13"/>
  <c r="J114" i="13"/>
  <c r="D115" i="13"/>
  <c r="E115" i="13"/>
  <c r="F115" i="13"/>
  <c r="G115" i="13"/>
  <c r="H115" i="13"/>
  <c r="I115" i="13"/>
  <c r="J115" i="13"/>
  <c r="D116" i="13"/>
  <c r="E116" i="13"/>
  <c r="F116" i="13"/>
  <c r="G116" i="13"/>
  <c r="H116" i="13"/>
  <c r="I116" i="13"/>
  <c r="J116" i="13"/>
  <c r="D117" i="13"/>
  <c r="E117" i="13"/>
  <c r="F117" i="13"/>
  <c r="G117" i="13"/>
  <c r="H117" i="13"/>
  <c r="I117" i="13"/>
  <c r="J117" i="13"/>
  <c r="D118" i="13"/>
  <c r="E118" i="13"/>
  <c r="F118" i="13"/>
  <c r="G118" i="13"/>
  <c r="H118" i="13"/>
  <c r="I118" i="13"/>
  <c r="J118" i="13"/>
  <c r="D119" i="13"/>
  <c r="E119" i="13"/>
  <c r="F119" i="13"/>
  <c r="G119" i="13"/>
  <c r="H119" i="13"/>
  <c r="I119" i="13"/>
  <c r="J119" i="13"/>
  <c r="D120" i="13"/>
  <c r="E120" i="13"/>
  <c r="F120" i="13"/>
  <c r="G120" i="13"/>
  <c r="H120" i="13"/>
  <c r="I120" i="13"/>
  <c r="J120" i="13"/>
  <c r="D121" i="13"/>
  <c r="E121" i="13"/>
  <c r="F121" i="13"/>
  <c r="G121" i="13"/>
  <c r="H121" i="13"/>
  <c r="I121" i="13"/>
  <c r="J121" i="13"/>
  <c r="D122" i="13"/>
  <c r="E122" i="13"/>
  <c r="F122" i="13"/>
  <c r="G122" i="13"/>
  <c r="H122" i="13"/>
  <c r="I122" i="13"/>
  <c r="J122" i="13"/>
  <c r="D123" i="13"/>
  <c r="E123" i="13"/>
  <c r="F123" i="13"/>
  <c r="G123" i="13"/>
  <c r="H123" i="13"/>
  <c r="I123" i="13"/>
  <c r="J123" i="13"/>
  <c r="D124" i="13"/>
  <c r="E124" i="13"/>
  <c r="F124" i="13"/>
  <c r="G124" i="13"/>
  <c r="H124" i="13"/>
  <c r="I124" i="13"/>
  <c r="J124" i="13"/>
  <c r="D125" i="13"/>
  <c r="E125" i="13"/>
  <c r="F125" i="13"/>
  <c r="G125" i="13"/>
  <c r="H125" i="13"/>
  <c r="I125" i="13"/>
  <c r="J125" i="13"/>
  <c r="D126" i="13"/>
  <c r="E126" i="13"/>
  <c r="F126" i="13"/>
  <c r="G126" i="13"/>
  <c r="H126" i="13"/>
  <c r="I126" i="13"/>
  <c r="J126" i="13"/>
  <c r="D90" i="2"/>
  <c r="E90" i="2"/>
  <c r="F90" i="2"/>
  <c r="G90" i="2"/>
  <c r="H90" i="2"/>
  <c r="I90" i="2"/>
  <c r="J90" i="2"/>
  <c r="D91" i="2"/>
  <c r="E91" i="2"/>
  <c r="F91" i="2"/>
  <c r="G91" i="2"/>
  <c r="H91" i="2"/>
  <c r="I91" i="2"/>
  <c r="J91" i="2"/>
  <c r="D92" i="2"/>
  <c r="E92" i="2"/>
  <c r="F92" i="2"/>
  <c r="G92" i="2"/>
  <c r="H92" i="2"/>
  <c r="I92" i="2"/>
  <c r="J92" i="2"/>
  <c r="D93" i="2"/>
  <c r="E93" i="2"/>
  <c r="F93" i="2"/>
  <c r="G93" i="2"/>
  <c r="H93" i="2"/>
  <c r="I93" i="2"/>
  <c r="J93" i="2"/>
  <c r="D94" i="2"/>
  <c r="E94" i="2"/>
  <c r="F94" i="2"/>
  <c r="G94" i="2"/>
  <c r="H94" i="2"/>
  <c r="I94" i="2"/>
  <c r="J94" i="2"/>
  <c r="D95" i="2"/>
  <c r="E95" i="2"/>
  <c r="F95" i="2"/>
  <c r="G95" i="2"/>
  <c r="H95" i="2"/>
  <c r="I95" i="2"/>
  <c r="J95" i="2"/>
  <c r="D96" i="2"/>
  <c r="E96" i="2"/>
  <c r="F96" i="2"/>
  <c r="G96" i="2"/>
  <c r="H96" i="2"/>
  <c r="I96" i="2"/>
  <c r="J96" i="2"/>
  <c r="D97" i="2"/>
  <c r="E97" i="2"/>
  <c r="F97" i="2"/>
  <c r="G97" i="2"/>
  <c r="H97" i="2"/>
  <c r="I97" i="2"/>
  <c r="J97" i="2"/>
  <c r="D98" i="2"/>
  <c r="E98" i="2"/>
  <c r="F98" i="2"/>
  <c r="G98" i="2"/>
  <c r="H98" i="2"/>
  <c r="I98" i="2"/>
  <c r="J98" i="2"/>
  <c r="D99" i="2"/>
  <c r="E99" i="2"/>
  <c r="F99" i="2"/>
  <c r="G99" i="2"/>
  <c r="H99" i="2"/>
  <c r="I99" i="2"/>
  <c r="J99" i="2"/>
  <c r="D100" i="2"/>
  <c r="E100" i="2"/>
  <c r="F100" i="2"/>
  <c r="G100" i="2"/>
  <c r="H100" i="2"/>
  <c r="I100" i="2"/>
  <c r="J100" i="2"/>
  <c r="D101" i="2"/>
  <c r="E101" i="2"/>
  <c r="F101" i="2"/>
  <c r="G101" i="2"/>
  <c r="H101" i="2"/>
  <c r="I101" i="2"/>
  <c r="J101" i="2"/>
  <c r="D102" i="2"/>
  <c r="E102" i="2"/>
  <c r="F102" i="2"/>
  <c r="G102" i="2"/>
  <c r="H102" i="2"/>
  <c r="I102" i="2"/>
  <c r="J102" i="2"/>
  <c r="D103" i="2"/>
  <c r="E103" i="2"/>
  <c r="F103" i="2"/>
  <c r="G103" i="2"/>
  <c r="H103" i="2"/>
  <c r="I103" i="2"/>
  <c r="J103" i="2"/>
  <c r="D104" i="2"/>
  <c r="E104" i="2"/>
  <c r="F104" i="2"/>
  <c r="G104" i="2"/>
  <c r="H104" i="2"/>
  <c r="I104" i="2"/>
  <c r="J104" i="2"/>
  <c r="D105" i="2"/>
  <c r="E105" i="2"/>
  <c r="F105" i="2"/>
  <c r="G105" i="2"/>
  <c r="H105" i="2"/>
  <c r="I105" i="2"/>
  <c r="J105" i="2"/>
  <c r="D106" i="2"/>
  <c r="E106" i="2"/>
  <c r="F106" i="2"/>
  <c r="G106" i="2"/>
  <c r="H106" i="2"/>
  <c r="I106" i="2"/>
  <c r="J106" i="2"/>
  <c r="D107" i="2"/>
  <c r="E107" i="2"/>
  <c r="F107" i="2"/>
  <c r="G107" i="2"/>
  <c r="H107" i="2"/>
  <c r="I107" i="2"/>
  <c r="J107" i="2"/>
  <c r="D108" i="2"/>
  <c r="E108" i="2"/>
  <c r="F108" i="2"/>
  <c r="G108" i="2"/>
  <c r="H108" i="2"/>
  <c r="I108" i="2"/>
  <c r="J108" i="2"/>
  <c r="D109" i="2"/>
  <c r="E109" i="2"/>
  <c r="F109" i="2"/>
  <c r="G109" i="2"/>
  <c r="H109" i="2"/>
  <c r="I109" i="2"/>
  <c r="J109" i="2"/>
  <c r="D110" i="2"/>
  <c r="E110" i="2"/>
  <c r="F110" i="2"/>
  <c r="G110" i="2"/>
  <c r="H110" i="2"/>
  <c r="I110" i="2"/>
  <c r="J110" i="2"/>
  <c r="D111" i="2"/>
  <c r="E111" i="2"/>
  <c r="F111" i="2"/>
  <c r="G111" i="2"/>
  <c r="H111" i="2"/>
  <c r="I111" i="2"/>
  <c r="J111" i="2"/>
  <c r="D112" i="2"/>
  <c r="E112" i="2"/>
  <c r="F112" i="2"/>
  <c r="G112" i="2"/>
  <c r="H112" i="2"/>
  <c r="I112" i="2"/>
  <c r="J112" i="2"/>
  <c r="D113" i="2"/>
  <c r="E113" i="2"/>
  <c r="F113" i="2"/>
  <c r="G113" i="2"/>
  <c r="H113" i="2"/>
  <c r="I113" i="2"/>
  <c r="J113" i="2"/>
  <c r="D114" i="2"/>
  <c r="E114" i="2"/>
  <c r="F114" i="2"/>
  <c r="G114" i="2"/>
  <c r="H114" i="2"/>
  <c r="I114" i="2"/>
  <c r="J114" i="2"/>
  <c r="D115" i="2"/>
  <c r="E115" i="2"/>
  <c r="F115" i="2"/>
  <c r="G115" i="2"/>
  <c r="H115" i="2"/>
  <c r="I115" i="2"/>
  <c r="J115" i="2"/>
  <c r="D116" i="2"/>
  <c r="E116" i="2"/>
  <c r="F116" i="2"/>
  <c r="G116" i="2"/>
  <c r="H116" i="2"/>
  <c r="I116" i="2"/>
  <c r="J116" i="2"/>
  <c r="D117" i="2"/>
  <c r="E117" i="2"/>
  <c r="F117" i="2"/>
  <c r="G117" i="2"/>
  <c r="H117" i="2"/>
  <c r="I117" i="2"/>
  <c r="J117" i="2"/>
  <c r="D118" i="2"/>
  <c r="E118" i="2"/>
  <c r="F118" i="2"/>
  <c r="G118" i="2"/>
  <c r="H118" i="2"/>
  <c r="I118" i="2"/>
  <c r="J118" i="2"/>
  <c r="D119" i="2"/>
  <c r="E119" i="2"/>
  <c r="F119" i="2"/>
  <c r="G119" i="2"/>
  <c r="H119" i="2"/>
  <c r="I119" i="2"/>
  <c r="J119" i="2"/>
  <c r="D120" i="2"/>
  <c r="E120" i="2"/>
  <c r="F120" i="2"/>
  <c r="G120" i="2"/>
  <c r="H120" i="2"/>
  <c r="I120" i="2"/>
  <c r="J120" i="2"/>
  <c r="D121" i="2"/>
  <c r="E121" i="2"/>
  <c r="F121" i="2"/>
  <c r="G121" i="2"/>
  <c r="H121" i="2"/>
  <c r="I121" i="2"/>
  <c r="J121" i="2"/>
  <c r="D122" i="2"/>
  <c r="E122" i="2"/>
  <c r="F122" i="2"/>
  <c r="G122" i="2"/>
  <c r="H122" i="2"/>
  <c r="I122" i="2"/>
  <c r="J122" i="2"/>
  <c r="D123" i="2"/>
  <c r="E123" i="2"/>
  <c r="F123" i="2"/>
  <c r="G123" i="2"/>
  <c r="H123" i="2"/>
  <c r="I123" i="2"/>
  <c r="J123" i="2"/>
  <c r="D124" i="2"/>
  <c r="E124" i="2"/>
  <c r="F124" i="2"/>
  <c r="G124" i="2"/>
  <c r="H124" i="2"/>
  <c r="I124" i="2"/>
  <c r="J124" i="2"/>
  <c r="D125" i="2"/>
  <c r="E125" i="2"/>
  <c r="F125" i="2"/>
  <c r="G125" i="2"/>
  <c r="H125" i="2"/>
  <c r="I125" i="2"/>
  <c r="J125" i="2"/>
  <c r="D126" i="2"/>
  <c r="E126" i="2"/>
  <c r="F126" i="2"/>
  <c r="G126" i="2"/>
  <c r="H126" i="2"/>
  <c r="I126" i="2"/>
  <c r="J126" i="2"/>
  <c r="E89" i="3"/>
  <c r="F89" i="3"/>
  <c r="G89" i="3"/>
  <c r="H89" i="3"/>
  <c r="I89" i="3"/>
  <c r="J89" i="3"/>
  <c r="E89" i="5"/>
  <c r="F89" i="5"/>
  <c r="G89" i="5"/>
  <c r="H89" i="5"/>
  <c r="I89" i="5"/>
  <c r="J89" i="5"/>
  <c r="E89" i="6"/>
  <c r="F89" i="6"/>
  <c r="G89" i="6"/>
  <c r="H89" i="6"/>
  <c r="I89" i="6"/>
  <c r="J89" i="6"/>
  <c r="E89" i="8"/>
  <c r="F89" i="8"/>
  <c r="G89" i="8"/>
  <c r="H89" i="8"/>
  <c r="I89" i="8"/>
  <c r="J89" i="8"/>
  <c r="E89" i="9"/>
  <c r="F89" i="9"/>
  <c r="G89" i="9"/>
  <c r="H89" i="9"/>
  <c r="I89" i="9"/>
  <c r="J89" i="9"/>
  <c r="E89" i="10"/>
  <c r="F89" i="10"/>
  <c r="G89" i="10"/>
  <c r="H89" i="10"/>
  <c r="I89" i="10"/>
  <c r="J89" i="10"/>
  <c r="E89" i="11"/>
  <c r="F89" i="11"/>
  <c r="G89" i="11"/>
  <c r="H89" i="11"/>
  <c r="I89" i="11"/>
  <c r="J89" i="11"/>
  <c r="E89" i="12"/>
  <c r="F89" i="12"/>
  <c r="G89" i="12"/>
  <c r="H89" i="12"/>
  <c r="I89" i="12"/>
  <c r="J89" i="12"/>
  <c r="E89" i="13"/>
  <c r="F89" i="13"/>
  <c r="G89" i="13"/>
  <c r="H89" i="13"/>
  <c r="I89" i="13"/>
  <c r="J89" i="13"/>
  <c r="E89" i="2"/>
  <c r="F89" i="2"/>
  <c r="G89" i="2"/>
  <c r="H89" i="2"/>
  <c r="I89" i="2"/>
  <c r="J89" i="2"/>
  <c r="D89" i="3"/>
  <c r="D89" i="5"/>
  <c r="D89" i="6"/>
  <c r="D89" i="8"/>
  <c r="D89" i="9"/>
  <c r="D89" i="10"/>
  <c r="D89" i="11"/>
  <c r="D89" i="12"/>
  <c r="D89" i="13"/>
  <c r="D89" i="2"/>
  <c r="I85" i="5"/>
  <c r="I85" i="8"/>
  <c r="I85" i="10"/>
  <c r="I85" i="12"/>
  <c r="I85" i="2"/>
  <c r="E84" i="3"/>
  <c r="E85" i="3" s="1"/>
  <c r="F84" i="3"/>
  <c r="F85" i="3" s="1"/>
  <c r="G84" i="3"/>
  <c r="G85" i="3" s="1"/>
  <c r="H84" i="3"/>
  <c r="H85" i="3" s="1"/>
  <c r="I84" i="3"/>
  <c r="I85" i="3" s="1"/>
  <c r="J84" i="3"/>
  <c r="J85" i="3" s="1"/>
  <c r="E84" i="5"/>
  <c r="E85" i="5" s="1"/>
  <c r="F84" i="5"/>
  <c r="F85" i="5" s="1"/>
  <c r="G84" i="5"/>
  <c r="G85" i="5" s="1"/>
  <c r="H84" i="5"/>
  <c r="H85" i="5" s="1"/>
  <c r="I84" i="5"/>
  <c r="J84" i="5"/>
  <c r="J85" i="5" s="1"/>
  <c r="E84" i="6"/>
  <c r="E85" i="6" s="1"/>
  <c r="F84" i="6"/>
  <c r="F85" i="6" s="1"/>
  <c r="G84" i="6"/>
  <c r="G85" i="6" s="1"/>
  <c r="H84" i="6"/>
  <c r="H85" i="6" s="1"/>
  <c r="I84" i="6"/>
  <c r="I85" i="6" s="1"/>
  <c r="J84" i="6"/>
  <c r="J85" i="6" s="1"/>
  <c r="E84" i="8"/>
  <c r="E85" i="8" s="1"/>
  <c r="F84" i="8"/>
  <c r="F85" i="8" s="1"/>
  <c r="G84" i="8"/>
  <c r="G85" i="8" s="1"/>
  <c r="H84" i="8"/>
  <c r="H85" i="8" s="1"/>
  <c r="I84" i="8"/>
  <c r="J84" i="8"/>
  <c r="J85" i="8" s="1"/>
  <c r="E84" i="9"/>
  <c r="E85" i="9" s="1"/>
  <c r="F84" i="9"/>
  <c r="F85" i="9" s="1"/>
  <c r="G84" i="9"/>
  <c r="G85" i="9" s="1"/>
  <c r="H84" i="9"/>
  <c r="H85" i="9" s="1"/>
  <c r="I84" i="9"/>
  <c r="I85" i="9" s="1"/>
  <c r="J84" i="9"/>
  <c r="J85" i="9" s="1"/>
  <c r="E84" i="10"/>
  <c r="E85" i="10" s="1"/>
  <c r="F84" i="10"/>
  <c r="G84" i="10"/>
  <c r="G85" i="10" s="1"/>
  <c r="H84" i="10"/>
  <c r="H85" i="10" s="1"/>
  <c r="I84" i="10"/>
  <c r="J84" i="10"/>
  <c r="J85" i="10" s="1"/>
  <c r="E84" i="11"/>
  <c r="E85" i="11" s="1"/>
  <c r="F84" i="11"/>
  <c r="F85" i="11" s="1"/>
  <c r="G84" i="11"/>
  <c r="G85" i="11" s="1"/>
  <c r="H84" i="11"/>
  <c r="H85" i="11" s="1"/>
  <c r="I84" i="11"/>
  <c r="I85" i="11" s="1"/>
  <c r="J84" i="11"/>
  <c r="J85" i="11" s="1"/>
  <c r="E84" i="12"/>
  <c r="E85" i="12" s="1"/>
  <c r="F84" i="12"/>
  <c r="G84" i="12"/>
  <c r="G85" i="12" s="1"/>
  <c r="H84" i="12"/>
  <c r="H85" i="12" s="1"/>
  <c r="I84" i="12"/>
  <c r="J84" i="12"/>
  <c r="J85" i="12" s="1"/>
  <c r="E84" i="13"/>
  <c r="E85" i="13" s="1"/>
  <c r="F84" i="13"/>
  <c r="F85" i="13" s="1"/>
  <c r="G84" i="13"/>
  <c r="G85" i="13" s="1"/>
  <c r="H84" i="13"/>
  <c r="H85" i="13" s="1"/>
  <c r="I84" i="13"/>
  <c r="I85" i="13" s="1"/>
  <c r="J84" i="13"/>
  <c r="J85" i="13" s="1"/>
  <c r="E84" i="2"/>
  <c r="E85" i="2" s="1"/>
  <c r="F84" i="2"/>
  <c r="F85" i="2" s="1"/>
  <c r="G84" i="2"/>
  <c r="G85" i="2" s="1"/>
  <c r="H84" i="2"/>
  <c r="H85" i="2" s="1"/>
  <c r="I84" i="2"/>
  <c r="J84" i="2"/>
  <c r="J85" i="2" s="1"/>
  <c r="D84" i="3"/>
  <c r="D85" i="3" s="1"/>
  <c r="D84" i="5"/>
  <c r="D85" i="5" s="1"/>
  <c r="D84" i="6"/>
  <c r="D85" i="6" s="1"/>
  <c r="D84" i="8"/>
  <c r="D85" i="8" s="1"/>
  <c r="D84" i="9"/>
  <c r="D85" i="9" s="1"/>
  <c r="D84" i="10"/>
  <c r="D85" i="10" s="1"/>
  <c r="D84" i="11"/>
  <c r="D85" i="11" s="1"/>
  <c r="D84" i="12"/>
  <c r="D84" i="13"/>
  <c r="D85" i="13" s="1"/>
  <c r="D84" i="2"/>
  <c r="D85" i="2" s="1"/>
  <c r="E83" i="3"/>
  <c r="F83" i="3"/>
  <c r="G83" i="3"/>
  <c r="H83" i="3"/>
  <c r="I83" i="3"/>
  <c r="J83" i="3"/>
  <c r="E83" i="5"/>
  <c r="F83" i="5"/>
  <c r="G83" i="5"/>
  <c r="H83" i="5"/>
  <c r="I83" i="5"/>
  <c r="J83" i="5"/>
  <c r="E83" i="6"/>
  <c r="F83" i="6"/>
  <c r="G83" i="6"/>
  <c r="H83" i="6"/>
  <c r="I83" i="6"/>
  <c r="J83" i="6"/>
  <c r="E83" i="8"/>
  <c r="F83" i="8"/>
  <c r="G83" i="8"/>
  <c r="H83" i="8"/>
  <c r="I83" i="8"/>
  <c r="J83" i="8"/>
  <c r="E83" i="9"/>
  <c r="F83" i="9"/>
  <c r="G83" i="9"/>
  <c r="H83" i="9"/>
  <c r="I83" i="9"/>
  <c r="J83" i="9"/>
  <c r="E83" i="10"/>
  <c r="F83" i="10"/>
  <c r="F85" i="10" s="1"/>
  <c r="G83" i="10"/>
  <c r="H83" i="10"/>
  <c r="I83" i="10"/>
  <c r="J83" i="10"/>
  <c r="E83" i="11"/>
  <c r="F83" i="11"/>
  <c r="G83" i="11"/>
  <c r="H83" i="11"/>
  <c r="I83" i="11"/>
  <c r="J83" i="11"/>
  <c r="E83" i="12"/>
  <c r="F83" i="12"/>
  <c r="F85" i="12" s="1"/>
  <c r="G83" i="12"/>
  <c r="H83" i="12"/>
  <c r="I83" i="12"/>
  <c r="J83" i="12"/>
  <c r="E83" i="13"/>
  <c r="F83" i="13"/>
  <c r="G83" i="13"/>
  <c r="H83" i="13"/>
  <c r="I83" i="13"/>
  <c r="J83" i="13"/>
  <c r="E83" i="2"/>
  <c r="F83" i="2"/>
  <c r="G83" i="2"/>
  <c r="H83" i="2"/>
  <c r="I83" i="2"/>
  <c r="J83" i="2"/>
  <c r="D83" i="3"/>
  <c r="D83" i="5"/>
  <c r="D83" i="6"/>
  <c r="D83" i="8"/>
  <c r="D83" i="9"/>
  <c r="D83" i="10"/>
  <c r="D83" i="11"/>
  <c r="D83" i="12"/>
  <c r="D85" i="12" s="1"/>
  <c r="D83" i="13"/>
  <c r="D8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3BC1B-BBE4-468E-85F3-0E3A9F4DF5B4}" keepAlive="1" name="Query - difference_vectors" description="Connection to the 'difference_vectors' query in the workbook." type="5" refreshedVersion="8" background="1" saveData="1">
    <dbPr connection="Provider=Microsoft.Mashup.OleDb.1;Data Source=$Workbook$;Location=difference_vectors;Extended Properties=&quot;&quot;" command="SELECT * FROM [difference_vectors]"/>
  </connection>
  <connection id="2" xr16:uid="{6C091658-1016-4CC0-A762-91E88715F1A4}" keepAlive="1" name="Query - difference_vectors (10)" description="Connection to the 'difference_vectors (10)' query in the workbook." type="5" refreshedVersion="8" background="1" saveData="1">
    <dbPr connection="Provider=Microsoft.Mashup.OleDb.1;Data Source=$Workbook$;Location=&quot;difference_vectors (10)&quot;;Extended Properties=&quot;&quot;" command="SELECT * FROM [difference_vectors (10)]"/>
  </connection>
  <connection id="3" xr16:uid="{E1E76FE6-C75D-41C9-8E17-2335552646B9}" keepAlive="1" name="Query - difference_vectors (2)" description="Connection to the 'difference_vectors (2)' query in the workbook." type="5" refreshedVersion="8" background="1" saveData="1">
    <dbPr connection="Provider=Microsoft.Mashup.OleDb.1;Data Source=$Workbook$;Location=&quot;difference_vectors (2)&quot;;Extended Properties=&quot;&quot;" command="SELECT * FROM [difference_vectors (2)]"/>
  </connection>
  <connection id="4" xr16:uid="{114605F5-019F-4508-BC97-6ED2B73509FC}" keepAlive="1" name="Query - difference_vectors (3)" description="Connection to the 'difference_vectors (3)' query in the workbook." type="5" refreshedVersion="8" background="1" saveData="1">
    <dbPr connection="Provider=Microsoft.Mashup.OleDb.1;Data Source=$Workbook$;Location=&quot;difference_vectors (3)&quot;;Extended Properties=&quot;&quot;" command="SELECT * FROM [difference_vectors (3)]"/>
  </connection>
  <connection id="5" xr16:uid="{5A124EE0-AE31-4577-98B2-A4D3BD9FA035}" keepAlive="1" name="Query - difference_vectors (4)" description="Connection to the 'difference_vectors (4)' query in the workbook." type="5" refreshedVersion="8" background="1" saveData="1">
    <dbPr connection="Provider=Microsoft.Mashup.OleDb.1;Data Source=$Workbook$;Location=&quot;difference_vectors (4)&quot;;Extended Properties=&quot;&quot;" command="SELECT * FROM [difference_vectors (4)]"/>
  </connection>
  <connection id="6" xr16:uid="{95F9C18F-B882-44CB-8832-B00CEE9A4ADC}" keepAlive="1" name="Query - difference_vectors (5)" description="Connection to the 'difference_vectors (5)' query in the workbook." type="5" refreshedVersion="8" background="1" saveData="1">
    <dbPr connection="Provider=Microsoft.Mashup.OleDb.1;Data Source=$Workbook$;Location=&quot;difference_vectors (5)&quot;;Extended Properties=&quot;&quot;" command="SELECT * FROM [difference_vectors (5)]"/>
  </connection>
  <connection id="7" xr16:uid="{EB60E084-7BA3-4293-85C8-0833E7CB5236}" keepAlive="1" name="Query - difference_vectors (6)" description="Connection to the 'difference_vectors (6)' query in the workbook." type="5" refreshedVersion="8" background="1" saveData="1">
    <dbPr connection="Provider=Microsoft.Mashup.OleDb.1;Data Source=$Workbook$;Location=&quot;difference_vectors (6)&quot;;Extended Properties=&quot;&quot;" command="SELECT * FROM [difference_vectors (6)]"/>
  </connection>
  <connection id="8" xr16:uid="{87A8100E-A791-49DB-AE3B-D633EF4128DE}" keepAlive="1" name="Query - difference_vectors (7)" description="Connection to the 'difference_vectors (7)' query in the workbook." type="5" refreshedVersion="8" background="1" saveData="1">
    <dbPr connection="Provider=Microsoft.Mashup.OleDb.1;Data Source=$Workbook$;Location=&quot;difference_vectors (7)&quot;;Extended Properties=&quot;&quot;" command="SELECT * FROM [difference_vectors (7)]"/>
  </connection>
  <connection id="9" xr16:uid="{CE59B1BD-F3FF-45C2-A208-266252B99269}" keepAlive="1" name="Query - difference_vectors (8)" description="Connection to the 'difference_vectors (8)' query in the workbook." type="5" refreshedVersion="8" background="1" saveData="1">
    <dbPr connection="Provider=Microsoft.Mashup.OleDb.1;Data Source=$Workbook$;Location=&quot;difference_vectors (8)&quot;;Extended Properties=&quot;&quot;" command="SELECT * FROM [difference_vectors (8)]"/>
  </connection>
  <connection id="10" xr16:uid="{44965E9A-8654-489F-9390-334207C0008C}" keepAlive="1" name="Query - difference_vectors (9)" description="Connection to the 'difference_vectors (9)' query in the workbook." type="5" refreshedVersion="8" background="1" saveData="1">
    <dbPr connection="Provider=Microsoft.Mashup.OleDb.1;Data Source=$Workbook$;Location=&quot;difference_vectors (9)&quot;;Extended Properties=&quot;&quot;" command="SELECT * FROM [difference_vectors (9)]"/>
  </connection>
</connections>
</file>

<file path=xl/sharedStrings.xml><?xml version="1.0" encoding="utf-8"?>
<sst xmlns="http://schemas.openxmlformats.org/spreadsheetml/2006/main" count="2150" uniqueCount="55">
  <si>
    <t>area_name</t>
  </si>
  <si>
    <t>seed_area</t>
  </si>
  <si>
    <t>seed_indices</t>
  </si>
  <si>
    <t>reference_model_seed_fc_z</t>
  </si>
  <si>
    <t>reference_target_seed_fc_z</t>
  </si>
  <si>
    <t>model_5ht_seed_fc_z</t>
  </si>
  <si>
    <t>target_5ht_seed_fc_z</t>
  </si>
  <si>
    <t>model_change</t>
  </si>
  <si>
    <t>target_change</t>
  </si>
  <si>
    <t>change_delta</t>
  </si>
  <si>
    <t>valid</t>
  </si>
  <si>
    <t>V1</t>
  </si>
  <si>
    <t>24c+32</t>
  </si>
  <si>
    <t>V2</t>
  </si>
  <si>
    <t>V4</t>
  </si>
  <si>
    <t>1</t>
  </si>
  <si>
    <t>3</t>
  </si>
  <si>
    <t>MT</t>
  </si>
  <si>
    <t>V6</t>
  </si>
  <si>
    <t>DP</t>
  </si>
  <si>
    <t>TEO</t>
  </si>
  <si>
    <t>8m</t>
  </si>
  <si>
    <t>F4</t>
  </si>
  <si>
    <t>5</t>
  </si>
  <si>
    <t>2</t>
  </si>
  <si>
    <t>8l</t>
  </si>
  <si>
    <t>F1</t>
  </si>
  <si>
    <t>STPc</t>
  </si>
  <si>
    <t>7A</t>
  </si>
  <si>
    <t>10</t>
  </si>
  <si>
    <t>F3</t>
  </si>
  <si>
    <t>TEpd</t>
  </si>
  <si>
    <t>46d</t>
  </si>
  <si>
    <t>9/46v</t>
  </si>
  <si>
    <t>PBr</t>
  </si>
  <si>
    <t>9/46d</t>
  </si>
  <si>
    <t>F5</t>
  </si>
  <si>
    <t>7m</t>
  </si>
  <si>
    <t>25</t>
  </si>
  <si>
    <t>LIP</t>
  </si>
  <si>
    <t>32</t>
  </si>
  <si>
    <t>STPi</t>
  </si>
  <si>
    <t>9</t>
  </si>
  <si>
    <t>45A</t>
  </si>
  <si>
    <t>8B</t>
  </si>
  <si>
    <t>7B</t>
  </si>
  <si>
    <t>F2</t>
  </si>
  <si>
    <t>F7</t>
  </si>
  <si>
    <t>ProM</t>
  </si>
  <si>
    <t>STPr</t>
  </si>
  <si>
    <t>24c</t>
  </si>
  <si>
    <t>OPRO</t>
  </si>
  <si>
    <t>min</t>
  </si>
  <si>
    <t>max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</si>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</sst>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2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NumberFormat="1"/>
    <xf numFmtId="0" fontId="1" fillId="4" borderId="5" xfId="0" applyFont="1" applyFill="1" applyBorder="1"/>
    <xf numFmtId="0" fontId="0" fillId="5" borderId="5" xfId="0" applyFont="1" applyFill="1" applyBorder="1"/>
    <xf numFmtId="0" fontId="0" fillId="5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5" borderId="4" xfId="0" applyNumberFormat="1" applyFont="1" applyFill="1" applyBorder="1"/>
    <xf numFmtId="0" fontId="0" fillId="5" borderId="5" xfId="0" applyNumberFormat="1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BAF4B0-4765-4B6A-9153-AEC635A7026E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CCBA5C-C261-4C55-AD31-EA030F3D2E4D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4D973DB-6305-42CD-877F-6981B3130D62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5A06604-857B-4571-98B4-889C10E4E7D1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9B08E71-CDF5-4631-87C2-875907E42F72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3C5C0B0E-9066-43CE-9973-2B7B7744305E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5162816A-A925-4F63-9299-F00FA3829101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A4372C8C-A17E-4E1E-BEBB-C9BDA738B0F2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E0A68E54-FCE1-44E4-B01B-68FDE039C510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80646973-30E4-4A0F-A657-0B0E286F7ACE}" autoFormatId="16" applyNumberFormats="0" applyBorderFormats="0" applyFontFormats="0" applyPatternFormats="0" applyAlignmentFormats="0" applyWidthHeightFormats="0">
  <queryTableRefresh nextId="12">
    <queryTableFields count="11">
      <queryTableField id="1" name="area_name" tableColumnId="1"/>
      <queryTableField id="2" name="seed_area" tableColumnId="2"/>
      <queryTableField id="3" name="seed_indices" tableColumnId="3"/>
      <queryTableField id="4" name="reference_model_seed_fc_z" tableColumnId="4"/>
      <queryTableField id="5" name="reference_target_seed_fc_z" tableColumnId="5"/>
      <queryTableField id="6" name="model_5ht_seed_fc_z" tableColumnId="6"/>
      <queryTableField id="7" name="target_5ht_seed_fc_z" tableColumnId="7"/>
      <queryTableField id="8" name="model_change" tableColumnId="8"/>
      <queryTableField id="9" name="target_change" tableColumnId="9"/>
      <queryTableField id="10" name="change_delta" tableColumnId="10"/>
      <queryTableField id="11" name="val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6CB19-69A3-4634-BCAA-A415803F6532}" name="difference_vectors" displayName="difference_vectors" ref="A1:K41" tableType="queryTable" totalsRowShown="0">
  <autoFilter ref="A1:K41" xr:uid="{9E56CB19-69A3-4634-BCAA-A415803F6532}">
    <filterColumn colId="10">
      <filters>
        <filter val="TRUE"/>
      </filters>
    </filterColumn>
  </autoFilter>
  <tableColumns count="11">
    <tableColumn id="1" xr3:uid="{E3D9A7C9-F570-4250-8F97-BBBED4CC473D}" uniqueName="1" name="area_name" queryTableFieldId="1" dataDxfId="19"/>
    <tableColumn id="2" xr3:uid="{0B09C893-74CB-4B79-B94A-237E594EC269}" uniqueName="2" name="seed_area" queryTableFieldId="2" dataDxfId="18"/>
    <tableColumn id="3" xr3:uid="{E021A433-F9F8-4E22-A2F8-732932950367}" uniqueName="3" name="seed_indices" queryTableFieldId="3"/>
    <tableColumn id="4" xr3:uid="{F54F4056-61CC-44C7-AD96-387F79792992}" uniqueName="4" name="reference_model_seed_fc_z" queryTableFieldId="4"/>
    <tableColumn id="5" xr3:uid="{7BB84D15-EAC2-4129-BD02-C11966D92E50}" uniqueName="5" name="reference_target_seed_fc_z" queryTableFieldId="5"/>
    <tableColumn id="6" xr3:uid="{6DBA7C3E-9929-4D06-A401-C16DA0191A4C}" uniqueName="6" name="model_5ht_seed_fc_z" queryTableFieldId="6"/>
    <tableColumn id="7" xr3:uid="{51D20DE2-1F76-473B-A58F-C422C75CFCA1}" uniqueName="7" name="target_5ht_seed_fc_z" queryTableFieldId="7"/>
    <tableColumn id="8" xr3:uid="{6E0720FC-E82C-4EA6-8E4F-78F17914DB46}" uniqueName="8" name="model_change" queryTableFieldId="8"/>
    <tableColumn id="9" xr3:uid="{C2C4286C-6FD1-46D1-AE69-683A17685DE1}" uniqueName="9" name="target_change" queryTableFieldId="9"/>
    <tableColumn id="10" xr3:uid="{C6207CC5-3545-4676-86B8-B55D965A4BAB}" uniqueName="10" name="change_delta" queryTableFieldId="10"/>
    <tableColumn id="11" xr3:uid="{191B06B2-EE8F-4040-982F-4FA354D24291}" uniqueName="11" name="valid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FF619-3339-4DC3-BCBA-BE99C73D79D4}" name="difference_vectors__2" displayName="difference_vectors__2" ref="A1:K41" tableType="queryTable" totalsRowShown="0">
  <autoFilter ref="A1:K41" xr:uid="{FAEFF619-3339-4DC3-BCBA-BE99C73D79D4}">
    <filterColumn colId="10">
      <filters>
        <filter val="TRUE"/>
      </filters>
    </filterColumn>
  </autoFilter>
  <tableColumns count="11">
    <tableColumn id="1" xr3:uid="{1EC7D00B-2325-4CD2-89AF-FF0AC56B5E0F}" uniqueName="1" name="area_name" queryTableFieldId="1" dataDxfId="17"/>
    <tableColumn id="2" xr3:uid="{94978B45-2154-4AA0-8A21-BC481E9354AD}" uniqueName="2" name="seed_area" queryTableFieldId="2" dataDxfId="16"/>
    <tableColumn id="3" xr3:uid="{2B259399-107F-4846-B317-C1734043648F}" uniqueName="3" name="seed_indices" queryTableFieldId="3"/>
    <tableColumn id="4" xr3:uid="{9DD1F79C-6C52-4B74-A955-6E7810A06891}" uniqueName="4" name="reference_model_seed_fc_z" queryTableFieldId="4"/>
    <tableColumn id="5" xr3:uid="{0F6F6AE2-ED1E-49D5-AC7C-8184AE027466}" uniqueName="5" name="reference_target_seed_fc_z" queryTableFieldId="5"/>
    <tableColumn id="6" xr3:uid="{52F07F79-1850-4783-BE95-7B7A04CA65EE}" uniqueName="6" name="model_5ht_seed_fc_z" queryTableFieldId="6"/>
    <tableColumn id="7" xr3:uid="{F03D1A74-8C9D-4B44-A72F-B116ACA5BBC4}" uniqueName="7" name="target_5ht_seed_fc_z" queryTableFieldId="7"/>
    <tableColumn id="8" xr3:uid="{6DFA759C-BDDA-4DAF-9256-890DCBCC48B1}" uniqueName="8" name="model_change" queryTableFieldId="8"/>
    <tableColumn id="9" xr3:uid="{FA6FD019-47D1-413D-9983-C8482F11E495}" uniqueName="9" name="target_change" queryTableFieldId="9"/>
    <tableColumn id="10" xr3:uid="{BAD2BDAC-4920-4542-9543-C44BBF6CE34B}" uniqueName="10" name="change_delta" queryTableFieldId="10"/>
    <tableColumn id="11" xr3:uid="{4186FA72-C2D9-4E1E-AE3D-0830D293571F}" uniqueName="11" name="valid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0DB0C4-ECBA-4BC5-AFF1-A15D72CCD07C}" name="difference_vectors__3" displayName="difference_vectors__3" ref="A1:K41" tableType="queryTable" totalsRowShown="0">
  <autoFilter ref="A1:K41" xr:uid="{450DB0C4-ECBA-4BC5-AFF1-A15D72CCD07C}">
    <filterColumn colId="10">
      <filters>
        <filter val="TRUE"/>
      </filters>
    </filterColumn>
  </autoFilter>
  <tableColumns count="11">
    <tableColumn id="1" xr3:uid="{939B283D-48D9-4B38-8D56-A0A28D5E136D}" uniqueName="1" name="area_name" queryTableFieldId="1" dataDxfId="15"/>
    <tableColumn id="2" xr3:uid="{2C6658FC-644F-43F7-B1DF-4FF8C88E5FBE}" uniqueName="2" name="seed_area" queryTableFieldId="2" dataDxfId="14"/>
    <tableColumn id="3" xr3:uid="{B2798C19-4E52-4680-ADA8-EF399733CEB6}" uniqueName="3" name="seed_indices" queryTableFieldId="3"/>
    <tableColumn id="4" xr3:uid="{940CE22D-1620-4CA9-BA52-EE2EB4730777}" uniqueName="4" name="reference_model_seed_fc_z" queryTableFieldId="4"/>
    <tableColumn id="5" xr3:uid="{3E74F415-EAF9-4CEE-AD29-69E2C3B79B3D}" uniqueName="5" name="reference_target_seed_fc_z" queryTableFieldId="5"/>
    <tableColumn id="6" xr3:uid="{FB827EC3-D850-4FE6-A968-AA52844019E8}" uniqueName="6" name="model_5ht_seed_fc_z" queryTableFieldId="6"/>
    <tableColumn id="7" xr3:uid="{F79CBA97-6C5B-4D8D-8438-37C2F6392ED5}" uniqueName="7" name="target_5ht_seed_fc_z" queryTableFieldId="7"/>
    <tableColumn id="8" xr3:uid="{212CF39A-22C7-4D63-8F1E-328CAC52F9E8}" uniqueName="8" name="model_change" queryTableFieldId="8"/>
    <tableColumn id="9" xr3:uid="{D7F78C61-0142-4DC6-983B-F7B9375FA949}" uniqueName="9" name="target_change" queryTableFieldId="9"/>
    <tableColumn id="10" xr3:uid="{D8A5B928-AEB2-489D-A3DA-695B0B7DB222}" uniqueName="10" name="change_delta" queryTableFieldId="10"/>
    <tableColumn id="11" xr3:uid="{53CA8DE6-BAF9-4FE0-8C63-C29CD663849C}" uniqueName="11" name="valid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650EEA-2400-4913-A105-DF3654AB845B}" name="difference_vectors__4" displayName="difference_vectors__4" ref="A1:K41" tableType="queryTable" totalsRowShown="0">
  <autoFilter ref="A1:K41" xr:uid="{63650EEA-2400-4913-A105-DF3654AB845B}">
    <filterColumn colId="10">
      <filters>
        <filter val="TRUE"/>
      </filters>
    </filterColumn>
  </autoFilter>
  <tableColumns count="11">
    <tableColumn id="1" xr3:uid="{7772BEC4-AB93-4D88-A5EE-FDC90F55523F}" uniqueName="1" name="area_name" queryTableFieldId="1" dataDxfId="13"/>
    <tableColumn id="2" xr3:uid="{DF7DB556-87C7-4AF3-9C60-EB333AF55F12}" uniqueName="2" name="seed_area" queryTableFieldId="2" dataDxfId="12"/>
    <tableColumn id="3" xr3:uid="{5A068643-8633-473B-AE1E-C4FFD357F1B9}" uniqueName="3" name="seed_indices" queryTableFieldId="3"/>
    <tableColumn id="4" xr3:uid="{867AADFB-0D2D-4D8D-9844-3CA032D56253}" uniqueName="4" name="reference_model_seed_fc_z" queryTableFieldId="4"/>
    <tableColumn id="5" xr3:uid="{90AA19FF-BDEC-4CF0-949F-B10B848A2B5B}" uniqueName="5" name="reference_target_seed_fc_z" queryTableFieldId="5"/>
    <tableColumn id="6" xr3:uid="{3DDC2153-429F-4849-AA34-1DDD973908D1}" uniqueName="6" name="model_5ht_seed_fc_z" queryTableFieldId="6"/>
    <tableColumn id="7" xr3:uid="{2C6D3DC4-448A-4F7E-B66D-A116DF8BBFE1}" uniqueName="7" name="target_5ht_seed_fc_z" queryTableFieldId="7"/>
    <tableColumn id="8" xr3:uid="{F8ABB6F1-63BD-4946-9604-72C5AAED1396}" uniqueName="8" name="model_change" queryTableFieldId="8"/>
    <tableColumn id="9" xr3:uid="{6D24D2D7-5DA0-4061-BE7C-31F71294351A}" uniqueName="9" name="target_change" queryTableFieldId="9"/>
    <tableColumn id="10" xr3:uid="{0534161E-F648-4865-A3E5-02637E51EC6A}" uniqueName="10" name="change_delta" queryTableFieldId="10"/>
    <tableColumn id="11" xr3:uid="{8722CB1D-7F92-4034-A8CF-8BD1F7BB79A6}" uniqueName="11" name="valid" queryTableField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AD799D-C0AA-40F0-BC9A-43311327563A}" name="difference_vectors__5" displayName="difference_vectors__5" ref="A1:K41" tableType="queryTable" totalsRowShown="0">
  <autoFilter ref="A1:K41" xr:uid="{1FAD799D-C0AA-40F0-BC9A-43311327563A}">
    <filterColumn colId="10">
      <filters>
        <filter val="TRUE"/>
      </filters>
    </filterColumn>
  </autoFilter>
  <tableColumns count="11">
    <tableColumn id="1" xr3:uid="{503C8189-CD1C-47D7-A864-628615B15BB4}" uniqueName="1" name="area_name" queryTableFieldId="1" dataDxfId="11"/>
    <tableColumn id="2" xr3:uid="{E76A106D-8C26-4E46-A459-DC10A4196F32}" uniqueName="2" name="seed_area" queryTableFieldId="2" dataDxfId="10"/>
    <tableColumn id="3" xr3:uid="{D539D056-CC70-4ECC-B7E6-7B4E0C1F8385}" uniqueName="3" name="seed_indices" queryTableFieldId="3"/>
    <tableColumn id="4" xr3:uid="{FC1B9304-5DBF-4E84-963A-BFD44D06C66F}" uniqueName="4" name="reference_model_seed_fc_z" queryTableFieldId="4"/>
    <tableColumn id="5" xr3:uid="{3CB0E3E1-BF90-490B-BC92-4955F1C92D46}" uniqueName="5" name="reference_target_seed_fc_z" queryTableFieldId="5"/>
    <tableColumn id="6" xr3:uid="{EC9B44E3-A588-47E6-B81E-3A0FA345F9EF}" uniqueName="6" name="model_5ht_seed_fc_z" queryTableFieldId="6"/>
    <tableColumn id="7" xr3:uid="{845D6E9A-22E8-4594-AC0D-B0EA206E06FA}" uniqueName="7" name="target_5ht_seed_fc_z" queryTableFieldId="7"/>
    <tableColumn id="8" xr3:uid="{8ABD0791-4B8E-479E-B365-2859CA6B8F57}" uniqueName="8" name="model_change" queryTableFieldId="8"/>
    <tableColumn id="9" xr3:uid="{3F67F0DB-5303-4CEC-8EBB-6B316B768D1D}" uniqueName="9" name="target_change" queryTableFieldId="9"/>
    <tableColumn id="10" xr3:uid="{99764603-33D5-496A-8323-9C4D4260133C}" uniqueName="10" name="change_delta" queryTableFieldId="10"/>
    <tableColumn id="11" xr3:uid="{D32C4355-164A-4C71-8A91-36EE462C8F88}" uniqueName="11" name="valid" queryTableFieldId="1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231EB8-7867-43C6-9A9E-3D6CC9A83777}" name="difference_vectors__6" displayName="difference_vectors__6" ref="A1:K41" tableType="queryTable" totalsRowShown="0">
  <autoFilter ref="A1:K41" xr:uid="{1F231EB8-7867-43C6-9A9E-3D6CC9A83777}">
    <filterColumn colId="10">
      <filters>
        <filter val="TRUE"/>
      </filters>
    </filterColumn>
  </autoFilter>
  <tableColumns count="11">
    <tableColumn id="1" xr3:uid="{42A6D2B5-EF95-401D-9608-B79F58DE6C60}" uniqueName="1" name="area_name" queryTableFieldId="1" dataDxfId="9"/>
    <tableColumn id="2" xr3:uid="{A24FE16D-811A-4096-86E4-8FBDA6019BBB}" uniqueName="2" name="seed_area" queryTableFieldId="2" dataDxfId="8"/>
    <tableColumn id="3" xr3:uid="{69FAEE8E-2D45-48EB-BC97-C85A97EE9DE9}" uniqueName="3" name="seed_indices" queryTableFieldId="3"/>
    <tableColumn id="4" xr3:uid="{1B5F98B1-F479-41E9-9D26-5E2699D49BED}" uniqueName="4" name="reference_model_seed_fc_z" queryTableFieldId="4"/>
    <tableColumn id="5" xr3:uid="{BF15563C-FF3A-4191-B253-D0C6D28375FE}" uniqueName="5" name="reference_target_seed_fc_z" queryTableFieldId="5"/>
    <tableColumn id="6" xr3:uid="{5D9B2568-1330-4325-B238-E8BE1828ACEB}" uniqueName="6" name="model_5ht_seed_fc_z" queryTableFieldId="6"/>
    <tableColumn id="7" xr3:uid="{6168AA58-4724-4699-8013-1A1B659525B2}" uniqueName="7" name="target_5ht_seed_fc_z" queryTableFieldId="7"/>
    <tableColumn id="8" xr3:uid="{7BB321D6-9830-4227-80DA-85DC170F2874}" uniqueName="8" name="model_change" queryTableFieldId="8"/>
    <tableColumn id="9" xr3:uid="{7BFAA3FD-B4F1-4305-B1F0-852031596A52}" uniqueName="9" name="target_change" queryTableFieldId="9"/>
    <tableColumn id="10" xr3:uid="{8EC8BD83-EFB1-43BA-A6D3-6428F7F828BA}" uniqueName="10" name="change_delta" queryTableFieldId="10"/>
    <tableColumn id="11" xr3:uid="{E86E444B-5714-4D92-9211-D3E8D74C4F44}" uniqueName="11" name="valid" queryTableField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7A029C-6961-42E2-BDA8-47F1F38FF3D1}" name="difference_vectors__7" displayName="difference_vectors__7" ref="A1:K41" tableType="queryTable" totalsRowShown="0">
  <autoFilter ref="A1:K41" xr:uid="{B97A029C-6961-42E2-BDA8-47F1F38FF3D1}">
    <filterColumn colId="10">
      <filters>
        <filter val="TRUE"/>
      </filters>
    </filterColumn>
  </autoFilter>
  <tableColumns count="11">
    <tableColumn id="1" xr3:uid="{8FE88028-5FA2-4D8E-AEBB-8E1B802F7437}" uniqueName="1" name="area_name" queryTableFieldId="1" dataDxfId="7"/>
    <tableColumn id="2" xr3:uid="{E2DA6882-1784-47DD-B4D5-CCDE3498F26E}" uniqueName="2" name="seed_area" queryTableFieldId="2" dataDxfId="6"/>
    <tableColumn id="3" xr3:uid="{1BEEF1A6-CAA0-402D-9EA4-56703C60F2F2}" uniqueName="3" name="seed_indices" queryTableFieldId="3"/>
    <tableColumn id="4" xr3:uid="{4E39E011-3535-4095-B53A-26A52663A409}" uniqueName="4" name="reference_model_seed_fc_z" queryTableFieldId="4"/>
    <tableColumn id="5" xr3:uid="{EA65CDAA-5266-495B-9B74-CAF620360831}" uniqueName="5" name="reference_target_seed_fc_z" queryTableFieldId="5"/>
    <tableColumn id="6" xr3:uid="{0AC04EF5-2559-49E2-BCAC-82FAD37B2AD0}" uniqueName="6" name="model_5ht_seed_fc_z" queryTableFieldId="6"/>
    <tableColumn id="7" xr3:uid="{5300E57B-64F9-4F66-8BCE-6FF142EC718C}" uniqueName="7" name="target_5ht_seed_fc_z" queryTableFieldId="7"/>
    <tableColumn id="8" xr3:uid="{4AA0245E-A5DB-4269-9766-E20D0BA8B6A5}" uniqueName="8" name="model_change" queryTableFieldId="8"/>
    <tableColumn id="9" xr3:uid="{D9BB9762-100A-4DF4-B0C1-1EB93D590E08}" uniqueName="9" name="target_change" queryTableFieldId="9"/>
    <tableColumn id="10" xr3:uid="{13E4753D-D7CE-4040-BCB9-47EB9F7396B0}" uniqueName="10" name="change_delta" queryTableFieldId="10"/>
    <tableColumn id="11" xr3:uid="{4A1D8990-58AA-40C3-A3EA-B31C05BA8CFC}" uniqueName="11" name="valid" queryTableFieldId="1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30A4DC-FC6E-4B87-A086-DB4DC32C174F}" name="difference_vectors__8" displayName="difference_vectors__8" ref="A1:K41" tableType="queryTable" totalsRowShown="0">
  <autoFilter ref="A1:K41" xr:uid="{D830A4DC-FC6E-4B87-A086-DB4DC32C174F}">
    <filterColumn colId="10">
      <filters>
        <filter val="TRUE"/>
      </filters>
    </filterColumn>
  </autoFilter>
  <tableColumns count="11">
    <tableColumn id="1" xr3:uid="{2A444F69-9E1B-4504-88D7-62F11BC1677B}" uniqueName="1" name="area_name" queryTableFieldId="1" dataDxfId="5"/>
    <tableColumn id="2" xr3:uid="{522293CC-E75B-4641-A912-78F8C86AC25A}" uniqueName="2" name="seed_area" queryTableFieldId="2" dataDxfId="4"/>
    <tableColumn id="3" xr3:uid="{214FC1B5-E97C-41F6-9489-7E7FDA197AD0}" uniqueName="3" name="seed_indices" queryTableFieldId="3"/>
    <tableColumn id="4" xr3:uid="{BBFCDA5C-8DD3-4B52-A392-90FD1BCA1852}" uniqueName="4" name="reference_model_seed_fc_z" queryTableFieldId="4"/>
    <tableColumn id="5" xr3:uid="{6CC85532-18D2-4A9B-860C-4A0CF56C789C}" uniqueName="5" name="reference_target_seed_fc_z" queryTableFieldId="5"/>
    <tableColumn id="6" xr3:uid="{154C2B23-9653-4FF7-93C6-214866F4799E}" uniqueName="6" name="model_5ht_seed_fc_z" queryTableFieldId="6"/>
    <tableColumn id="7" xr3:uid="{18CD3A6F-2B50-4E91-B062-2446D916F2F6}" uniqueName="7" name="target_5ht_seed_fc_z" queryTableFieldId="7"/>
    <tableColumn id="8" xr3:uid="{E7E03161-0C72-40EA-A763-BCDF216991D9}" uniqueName="8" name="model_change" queryTableFieldId="8"/>
    <tableColumn id="9" xr3:uid="{F982CE60-8A1B-456A-8C41-56F1BF072040}" uniqueName="9" name="target_change" queryTableFieldId="9"/>
    <tableColumn id="10" xr3:uid="{FA406EA6-718E-49C0-8044-4A6C3C6BD552}" uniqueName="10" name="change_delta" queryTableFieldId="10"/>
    <tableColumn id="11" xr3:uid="{342A2A14-9143-4D56-BCAA-1F6EF7883A1B}" uniqueName="11" name="valid" queryTableField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EC7072C-EBDA-41C2-BE11-E47CC1AFD2C0}" name="difference_vectors__9" displayName="difference_vectors__9" ref="A1:K41" tableType="queryTable" totalsRowShown="0">
  <autoFilter ref="A1:K41" xr:uid="{2EC7072C-EBDA-41C2-BE11-E47CC1AFD2C0}">
    <filterColumn colId="10">
      <filters>
        <filter val="TRUE"/>
      </filters>
    </filterColumn>
  </autoFilter>
  <tableColumns count="11">
    <tableColumn id="1" xr3:uid="{ED951A32-5A8C-400A-AB08-AF085CD26837}" uniqueName="1" name="area_name" queryTableFieldId="1" dataDxfId="3"/>
    <tableColumn id="2" xr3:uid="{D06ED89F-CB2E-463B-B9BE-2963F6FC4468}" uniqueName="2" name="seed_area" queryTableFieldId="2" dataDxfId="2"/>
    <tableColumn id="3" xr3:uid="{D14CDD22-DC5C-4F62-BB54-213BCEBEC26E}" uniqueName="3" name="seed_indices" queryTableFieldId="3"/>
    <tableColumn id="4" xr3:uid="{90D6261E-ED74-4280-9714-857FFEEA0271}" uniqueName="4" name="reference_model_seed_fc_z" queryTableFieldId="4"/>
    <tableColumn id="5" xr3:uid="{422A8748-F376-4603-A307-06BE97210596}" uniqueName="5" name="reference_target_seed_fc_z" queryTableFieldId="5"/>
    <tableColumn id="6" xr3:uid="{8FC51857-41B6-4663-A90D-CC92DE46D64B}" uniqueName="6" name="model_5ht_seed_fc_z" queryTableFieldId="6"/>
    <tableColumn id="7" xr3:uid="{F4F26866-1A3E-4023-A9B7-2FA91B771F4B}" uniqueName="7" name="target_5ht_seed_fc_z" queryTableFieldId="7"/>
    <tableColumn id="8" xr3:uid="{89AA4132-155E-47A0-930B-0F393A62E494}" uniqueName="8" name="model_change" queryTableFieldId="8"/>
    <tableColumn id="9" xr3:uid="{1BB71BA3-BC6D-4200-A25D-0EA56720D82E}" uniqueName="9" name="target_change" queryTableFieldId="9"/>
    <tableColumn id="10" xr3:uid="{688BE443-8852-452A-8AF8-2DF2169D5453}" uniqueName="10" name="change_delta" queryTableFieldId="10"/>
    <tableColumn id="11" xr3:uid="{FB00AFDE-F6B3-4333-A6E8-6F402F37072D}" uniqueName="11" name="valid" queryTableFieldId="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C42565E-F392-4F57-9D36-512545D55082}" name="difference_vectors__10" displayName="difference_vectors__10" ref="A1:K41" tableType="queryTable" totalsRowShown="0">
  <autoFilter ref="A1:K41" xr:uid="{3C42565E-F392-4F57-9D36-512545D55082}">
    <filterColumn colId="10">
      <filters>
        <filter val="TRUE"/>
      </filters>
    </filterColumn>
  </autoFilter>
  <tableColumns count="11">
    <tableColumn id="1" xr3:uid="{D3AAE5C1-E292-4E73-B16E-87BC74EC760A}" uniqueName="1" name="area_name" queryTableFieldId="1" dataDxfId="1"/>
    <tableColumn id="2" xr3:uid="{7CA7EFB5-DFEA-43EB-A350-AAC12B8D2BC0}" uniqueName="2" name="seed_area" queryTableFieldId="2" dataDxfId="0"/>
    <tableColumn id="3" xr3:uid="{143F634D-6C0C-4935-8DB7-FAF84D41428C}" uniqueName="3" name="seed_indices" queryTableFieldId="3"/>
    <tableColumn id="4" xr3:uid="{84C67530-CAD6-4085-9747-61EA563DB8F8}" uniqueName="4" name="reference_model_seed_fc_z" queryTableFieldId="4"/>
    <tableColumn id="5" xr3:uid="{6E990BB1-E68D-41AE-A734-DAF2525FB357}" uniqueName="5" name="reference_target_seed_fc_z" queryTableFieldId="5"/>
    <tableColumn id="6" xr3:uid="{498F9E18-62D5-47D3-A5BB-591ADB7559B8}" uniqueName="6" name="model_5ht_seed_fc_z" queryTableFieldId="6"/>
    <tableColumn id="7" xr3:uid="{1195C75F-1EBB-4EC2-B442-F496C77D844B}" uniqueName="7" name="target_5ht_seed_fc_z" queryTableFieldId="7"/>
    <tableColumn id="8" xr3:uid="{63C72621-E2E7-446B-A3DA-7A99F18433A0}" uniqueName="8" name="model_change" queryTableFieldId="8"/>
    <tableColumn id="9" xr3:uid="{072825C2-52BE-4D06-803C-2CBAA83C6C75}" uniqueName="9" name="target_change" queryTableFieldId="9"/>
    <tableColumn id="10" xr3:uid="{983E4156-F983-4CC9-B003-D31DBD9DF3A3}" uniqueName="10" name="change_delta" queryTableFieldId="10"/>
    <tableColumn id="11" xr3:uid="{F8FB06D9-0914-4DAD-8B81-C5787DD70DB1}" uniqueName="11" name="valid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903E-E275-4796-A124-EA68E36301B2}">
  <sheetPr codeName="Sheet1"/>
  <dimension ref="A1:K126"/>
  <sheetViews>
    <sheetView tabSelected="1" topLeftCell="A60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-0.45587349888373863</v>
      </c>
      <c r="E2">
        <v>3.7859999999999999E-3</v>
      </c>
      <c r="F2">
        <v>0.77307514513556186</v>
      </c>
      <c r="G2">
        <v>1.5772999999999999E-2</v>
      </c>
      <c r="H2">
        <v>1.2289486440193005</v>
      </c>
      <c r="I2">
        <v>1.1986999999999999E-2</v>
      </c>
      <c r="J2">
        <v>1.2169616440193005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0.2375117341989203</v>
      </c>
      <c r="E3">
        <v>4.3747000000000001E-2</v>
      </c>
      <c r="F3">
        <v>0.65132666676019668</v>
      </c>
      <c r="G3">
        <v>3.9851999999999999E-2</v>
      </c>
      <c r="H3">
        <v>0.41381493256127638</v>
      </c>
      <c r="I3">
        <v>-3.8950000000000026E-3</v>
      </c>
      <c r="J3">
        <v>0.41770993256127636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-0.18714584904618409</v>
      </c>
      <c r="E4">
        <v>9.6906000000000006E-2</v>
      </c>
      <c r="F4">
        <v>-0.5452619834491772</v>
      </c>
      <c r="G4">
        <v>1.2330000000000001E-2</v>
      </c>
      <c r="H4">
        <v>-0.35811613440299311</v>
      </c>
      <c r="I4">
        <v>-8.4576000000000012E-2</v>
      </c>
      <c r="J4">
        <v>-0.27354013440299307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0.1271032202314345</v>
      </c>
      <c r="E5">
        <v>5.4903E-2</v>
      </c>
      <c r="F5">
        <v>-0.24379404619850137</v>
      </c>
      <c r="G5">
        <v>-0.12700900000000001</v>
      </c>
      <c r="H5">
        <v>-0.37089726642993587</v>
      </c>
      <c r="I5">
        <v>-0.18191200000000002</v>
      </c>
      <c r="J5">
        <v>-0.18898526642993585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-4.9742789968516297E-2</v>
      </c>
      <c r="E6">
        <v>4.6280000000000002E-2</v>
      </c>
      <c r="F6">
        <v>0.81274860535566129</v>
      </c>
      <c r="G6">
        <v>-5.0600000000000005E-4</v>
      </c>
      <c r="H6">
        <v>0.86249139532417762</v>
      </c>
      <c r="I6">
        <v>-4.6786000000000001E-2</v>
      </c>
      <c r="J6">
        <v>0.90927739532417762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-0.29644709660431301</v>
      </c>
      <c r="E7">
        <v>0.175566</v>
      </c>
      <c r="F7">
        <v>0.29983842433421098</v>
      </c>
      <c r="G7">
        <v>3.6249999999999998E-2</v>
      </c>
      <c r="H7">
        <v>0.59628552093852405</v>
      </c>
      <c r="I7">
        <v>-0.139316</v>
      </c>
      <c r="J7">
        <v>0.73560152093852404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2.8506044505690999E-3</v>
      </c>
      <c r="E8">
        <v>0.13925399999999999</v>
      </c>
      <c r="F8">
        <v>7.1472208075291199E-2</v>
      </c>
      <c r="G8">
        <v>0.217226</v>
      </c>
      <c r="H8">
        <v>6.8621603624722097E-2</v>
      </c>
      <c r="I8">
        <v>7.7972000000000014E-2</v>
      </c>
      <c r="J8">
        <v>-9.3503963752779168E-3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0.26277257320987579</v>
      </c>
      <c r="E9">
        <v>0.19956699999999999</v>
      </c>
      <c r="F9">
        <v>-0.47630537550839724</v>
      </c>
      <c r="G9">
        <v>-0.25957200000000002</v>
      </c>
      <c r="H9">
        <v>-0.73907794871827304</v>
      </c>
      <c r="I9">
        <v>-0.45913900000000002</v>
      </c>
      <c r="J9">
        <v>-0.27993894871827302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8.9380653149551695E-2</v>
      </c>
      <c r="E10">
        <v>3.1259000000000002E-2</v>
      </c>
      <c r="F10">
        <v>0.1331729009293659</v>
      </c>
      <c r="G10">
        <v>7.2361999999999996E-2</v>
      </c>
      <c r="H10">
        <v>4.3792247779814206E-2</v>
      </c>
      <c r="I10">
        <v>4.1102999999999994E-2</v>
      </c>
      <c r="J10">
        <v>2.689247779814212E-3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0.6169810193636821</v>
      </c>
      <c r="E11">
        <v>0.175673</v>
      </c>
      <c r="F11">
        <v>-0.40837066756123525</v>
      </c>
      <c r="G11">
        <v>0.165189</v>
      </c>
      <c r="H11">
        <v>-1.0253516869249173</v>
      </c>
      <c r="I11">
        <v>-1.0483999999999993E-2</v>
      </c>
      <c r="J11">
        <v>-1.0148676869249174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0.2230825589129648</v>
      </c>
      <c r="E12">
        <v>-1.5774E-2</v>
      </c>
      <c r="F12">
        <v>-0.61294434178396151</v>
      </c>
      <c r="G12">
        <v>0.135711</v>
      </c>
      <c r="H12">
        <v>-0.83602690069692631</v>
      </c>
      <c r="I12">
        <v>0.15148500000000001</v>
      </c>
      <c r="J12">
        <v>-0.98751190069692629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-4.8505198244722103E-2</v>
      </c>
      <c r="E13">
        <v>-2.6273999999999999E-2</v>
      </c>
      <c r="F13">
        <v>-0.30934871953540671</v>
      </c>
      <c r="G13">
        <v>-0.16467399999999999</v>
      </c>
      <c r="H13">
        <v>-0.26084352129068461</v>
      </c>
      <c r="I13">
        <v>-0.1384</v>
      </c>
      <c r="J13">
        <v>-0.12244352129068461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8.9082421743525694E-2</v>
      </c>
      <c r="E14">
        <v>8.8932999999999998E-2</v>
      </c>
      <c r="F14">
        <v>3.9944205669298932E-2</v>
      </c>
      <c r="G14">
        <v>-5.9866999999999997E-2</v>
      </c>
      <c r="H14">
        <v>-4.9138216074226762E-2</v>
      </c>
      <c r="I14">
        <v>-0.14879999999999999</v>
      </c>
      <c r="J14">
        <v>9.9661783925773226E-2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0.14129205378642359</v>
      </c>
      <c r="E15">
        <v>0.16705999999999999</v>
      </c>
      <c r="F15">
        <v>-0.33895544249073845</v>
      </c>
      <c r="G15">
        <v>6.4032000000000006E-2</v>
      </c>
      <c r="H15">
        <v>-0.48024749627716201</v>
      </c>
      <c r="I15">
        <v>-0.10302799999999998</v>
      </c>
      <c r="J15">
        <v>-0.377219496277162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-0.1848361842128097</v>
      </c>
      <c r="E16">
        <v>2.3885E-2</v>
      </c>
      <c r="F16">
        <v>-4.6831447372362688E-3</v>
      </c>
      <c r="G16">
        <v>1.4027E-2</v>
      </c>
      <c r="H16">
        <v>0.18015303947557343</v>
      </c>
      <c r="I16">
        <v>-9.8580000000000004E-3</v>
      </c>
      <c r="J16">
        <v>0.19001103947557343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0.1406087010004935</v>
      </c>
      <c r="E17">
        <v>-4.7580000000000001E-3</v>
      </c>
      <c r="F17">
        <v>-0.21881743223621036</v>
      </c>
      <c r="G17">
        <v>2.1163999999999999E-2</v>
      </c>
      <c r="H17">
        <v>-0.35942613323670386</v>
      </c>
      <c r="I17">
        <v>2.5922000000000001E-2</v>
      </c>
      <c r="J17">
        <v>-0.38534813323670386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1.03944873931981E-2</v>
      </c>
      <c r="E18">
        <v>3.1260000000000003E-2</v>
      </c>
      <c r="F18">
        <v>0.14131730863127284</v>
      </c>
      <c r="G18">
        <v>-2.2945E-2</v>
      </c>
      <c r="H18">
        <v>0.13092282123807475</v>
      </c>
      <c r="I18">
        <v>-5.4205000000000003E-2</v>
      </c>
      <c r="J18">
        <v>0.18512782123807475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1.2795216426735585</v>
      </c>
      <c r="E19">
        <v>0.313056</v>
      </c>
      <c r="F19">
        <v>-0.3422203670056283</v>
      </c>
      <c r="G19">
        <v>-0.25945200000000002</v>
      </c>
      <c r="H19">
        <v>-1.6217420096791868</v>
      </c>
      <c r="I19">
        <v>-0.57250800000000002</v>
      </c>
      <c r="J19">
        <v>-1.0492340096791868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8.9059255709656907E-2</v>
      </c>
      <c r="E20">
        <v>9.4149999999999998E-2</v>
      </c>
      <c r="F20">
        <v>-0.52163465222250882</v>
      </c>
      <c r="G20">
        <v>7.3126999999999998E-2</v>
      </c>
      <c r="H20">
        <v>-0.61069390793216571</v>
      </c>
      <c r="I20">
        <v>-2.1023E-2</v>
      </c>
      <c r="J20">
        <v>-0.5896709079321657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-1.6762686314884302E-2</v>
      </c>
      <c r="E21">
        <v>1.6372000000000001E-2</v>
      </c>
      <c r="F21">
        <v>-0.31777784014114757</v>
      </c>
      <c r="G21">
        <v>0.111161</v>
      </c>
      <c r="H21">
        <v>-0.30101515382626326</v>
      </c>
      <c r="I21">
        <v>9.4788999999999998E-2</v>
      </c>
      <c r="J21">
        <v>-0.39580415382626327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1.1099412435174054</v>
      </c>
      <c r="E22">
        <v>0.33707300000000001</v>
      </c>
      <c r="F22">
        <v>-0.6830481013712173</v>
      </c>
      <c r="G22">
        <v>3.6685000000000002E-2</v>
      </c>
      <c r="H22">
        <v>-1.7929893448886227</v>
      </c>
      <c r="I22">
        <v>-0.30038799999999999</v>
      </c>
      <c r="J22">
        <v>-1.4926013448886226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0.38203096187592062</v>
      </c>
      <c r="E23">
        <v>0.2712</v>
      </c>
      <c r="F23">
        <v>-0.3824932696206757</v>
      </c>
      <c r="G23">
        <v>9.7201999999999997E-2</v>
      </c>
      <c r="H23">
        <v>-0.76452423149659632</v>
      </c>
      <c r="I23">
        <v>-0.17399799999999999</v>
      </c>
      <c r="J23">
        <v>-0.59052623149659633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-0.32306567931786712</v>
      </c>
      <c r="E24">
        <v>3.2065000000000003E-2</v>
      </c>
      <c r="F24">
        <v>1.5232434479305423</v>
      </c>
      <c r="G24">
        <v>3.5300000000000002E-3</v>
      </c>
      <c r="H24">
        <v>1.8463091272484093</v>
      </c>
      <c r="I24">
        <v>-2.8535000000000005E-2</v>
      </c>
      <c r="J24">
        <v>1.8748441272484093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0.66498543267650545</v>
      </c>
      <c r="E25">
        <v>0.24563599999999999</v>
      </c>
      <c r="F25">
        <v>-0.47291539693128898</v>
      </c>
      <c r="G25">
        <v>7.9916000000000001E-2</v>
      </c>
      <c r="H25">
        <v>-1.1379008296077944</v>
      </c>
      <c r="I25">
        <v>-0.16571999999999998</v>
      </c>
      <c r="J25">
        <v>-0.97218082960779439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0.35562064460676102</v>
      </c>
      <c r="E26">
        <v>8.1313999999999997E-2</v>
      </c>
      <c r="F26">
        <v>-0.59376148827633524</v>
      </c>
      <c r="G26">
        <v>0.14954899999999999</v>
      </c>
      <c r="H26">
        <v>-0.94938213288309625</v>
      </c>
      <c r="I26">
        <v>6.823499999999999E-2</v>
      </c>
      <c r="J26">
        <v>-1.0176171328830963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-0.31526401649961427</v>
      </c>
      <c r="E27">
        <v>-8.2865999999999995E-2</v>
      </c>
      <c r="F27">
        <v>-0.53105171865210621</v>
      </c>
      <c r="G27">
        <v>4.7937E-2</v>
      </c>
      <c r="H27">
        <v>-0.21578770215249193</v>
      </c>
      <c r="I27">
        <v>0.130803</v>
      </c>
      <c r="J27">
        <v>-0.34659070215249194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0.29757741381699371</v>
      </c>
      <c r="E28">
        <v>-0.168438</v>
      </c>
      <c r="F28">
        <v>0.95515145487110242</v>
      </c>
      <c r="G28">
        <v>0.142877</v>
      </c>
      <c r="H28">
        <v>0.65757404105410866</v>
      </c>
      <c r="I28">
        <v>0.31131500000000001</v>
      </c>
      <c r="J28">
        <v>0.34625904105410865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0.184667210187723</v>
      </c>
      <c r="E29">
        <v>6.3566999999999999E-2</v>
      </c>
      <c r="F29">
        <v>-0.44540183750774109</v>
      </c>
      <c r="G29">
        <v>3.7657999999999997E-2</v>
      </c>
      <c r="H29">
        <v>-0.63006904769546412</v>
      </c>
      <c r="I29">
        <v>-2.5909000000000001E-2</v>
      </c>
      <c r="J29">
        <v>-0.60416004769546416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1.0546444050580541</v>
      </c>
      <c r="G30">
        <v>0.70438599999999996</v>
      </c>
      <c r="H30">
        <v>-0.94535559494194588</v>
      </c>
      <c r="I30">
        <v>-0.10781600000000002</v>
      </c>
      <c r="J30">
        <v>-0.83753959494194585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-0.22000947470347421</v>
      </c>
      <c r="E31">
        <v>2.8622000000000002E-2</v>
      </c>
      <c r="F31">
        <v>0.29653917632731508</v>
      </c>
      <c r="G31">
        <v>5.9489E-2</v>
      </c>
      <c r="H31">
        <v>0.51654865103078929</v>
      </c>
      <c r="I31">
        <v>3.0866999999999999E-2</v>
      </c>
      <c r="J31">
        <v>0.48568165103078931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1.1209643384219838</v>
      </c>
      <c r="E32">
        <v>0.35854399999999997</v>
      </c>
      <c r="F32">
        <v>-0.6728807684553173</v>
      </c>
      <c r="G32">
        <v>0.14568600000000001</v>
      </c>
      <c r="H32">
        <v>-1.7938451068773011</v>
      </c>
      <c r="I32">
        <v>-0.21285799999999996</v>
      </c>
      <c r="J32">
        <v>-1.5809871068773012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0.49743065969255412</v>
      </c>
      <c r="E33">
        <v>0.22115000000000001</v>
      </c>
      <c r="F33">
        <v>-0.32663767835509849</v>
      </c>
      <c r="G33">
        <v>-0.16395299999999999</v>
      </c>
      <c r="H33">
        <v>-0.82406833804765256</v>
      </c>
      <c r="I33">
        <v>-0.38510299999999997</v>
      </c>
      <c r="J33">
        <v>-0.43896533804765259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1.0272264220284939</v>
      </c>
      <c r="E34">
        <v>0.223581</v>
      </c>
      <c r="F34">
        <v>-6.6671307587400377E-2</v>
      </c>
      <c r="G34">
        <v>6.0359000000000003E-2</v>
      </c>
      <c r="H34">
        <v>-1.0938977296158943</v>
      </c>
      <c r="I34">
        <v>-0.16322200000000001</v>
      </c>
      <c r="J34">
        <v>-0.93067572961589429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-0.42605154954134239</v>
      </c>
      <c r="E35">
        <v>0.11131199999999999</v>
      </c>
      <c r="F35">
        <v>-0.64939700446459292</v>
      </c>
      <c r="G35">
        <v>-1.8539E-2</v>
      </c>
      <c r="H35">
        <v>-0.22334545492325053</v>
      </c>
      <c r="I35">
        <v>-0.12985099999999999</v>
      </c>
      <c r="J35">
        <v>-9.3494454923250536E-2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-0.3243543790695238</v>
      </c>
      <c r="E36">
        <v>-2.4718E-2</v>
      </c>
      <c r="F36">
        <v>-0.26219490595446665</v>
      </c>
      <c r="G36">
        <v>-5.2999999999999998E-4</v>
      </c>
      <c r="H36">
        <v>6.2159473115057151E-2</v>
      </c>
      <c r="I36">
        <v>2.4188000000000001E-2</v>
      </c>
      <c r="J36">
        <v>3.797147311505715E-2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1.2042281727899946</v>
      </c>
      <c r="E37">
        <v>0.25606000000000001</v>
      </c>
      <c r="F37">
        <v>-0.6368441932967368</v>
      </c>
      <c r="G37">
        <v>-0.10309599999999999</v>
      </c>
      <c r="H37">
        <v>-1.8410723660867314</v>
      </c>
      <c r="I37">
        <v>-0.35915600000000003</v>
      </c>
      <c r="J37">
        <v>-1.4819163660867314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8.9382066231793705E-2</v>
      </c>
      <c r="E38">
        <v>4.3750000000000004E-3</v>
      </c>
      <c r="F38">
        <v>0.2609641529933372</v>
      </c>
      <c r="G38">
        <v>-7.4530000000000004E-3</v>
      </c>
      <c r="H38">
        <v>0.17158208676154349</v>
      </c>
      <c r="I38">
        <v>-1.1828000000000002E-2</v>
      </c>
      <c r="J38">
        <v>0.18341008676154349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0.11636086753551229</v>
      </c>
      <c r="E39">
        <v>-5.7009999999999998E-2</v>
      </c>
      <c r="F39">
        <v>0.69490312653308584</v>
      </c>
      <c r="G39">
        <v>7.9455999999999999E-2</v>
      </c>
      <c r="H39">
        <v>0.5785422589975735</v>
      </c>
      <c r="I39">
        <v>0.136466</v>
      </c>
      <c r="J39">
        <v>0.44207625899757352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0.4428368088451804</v>
      </c>
      <c r="G40">
        <v>0.99823200000000001</v>
      </c>
      <c r="H40">
        <v>-1.5571631911548196</v>
      </c>
      <c r="I40">
        <v>-8.2908999999999899E-2</v>
      </c>
      <c r="J40">
        <v>-1.4742541911548197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0.3926708242387193</v>
      </c>
      <c r="E41">
        <v>0.17669499999999999</v>
      </c>
      <c r="F41">
        <v>1.0526506288729913</v>
      </c>
      <c r="G41">
        <v>-1.6920000000000001E-2</v>
      </c>
      <c r="H41">
        <v>0.65997980463427197</v>
      </c>
      <c r="I41">
        <v>-0.19361499999999998</v>
      </c>
      <c r="J41">
        <v>0.85359480463427195</v>
      </c>
      <c r="K41" t="b">
        <v>1</v>
      </c>
    </row>
    <row r="44" spans="1:11" x14ac:dyDescent="0.25">
      <c r="A44" s="12" t="s">
        <v>11</v>
      </c>
      <c r="B44" s="13" t="s">
        <v>12</v>
      </c>
      <c r="C44" s="2">
        <v>3828</v>
      </c>
      <c r="D44" s="2">
        <v>-0.45587349888373863</v>
      </c>
      <c r="E44" s="2">
        <v>3.7859999999999999E-3</v>
      </c>
      <c r="F44" s="2">
        <v>0.77307514513556186</v>
      </c>
      <c r="G44" s="2">
        <v>1.5772999999999999E-2</v>
      </c>
      <c r="H44" s="2">
        <v>1.2289486440193005</v>
      </c>
      <c r="I44" s="2">
        <v>1.1986999999999999E-2</v>
      </c>
      <c r="J44" s="2">
        <v>1.2169616440193005</v>
      </c>
      <c r="K44" s="3" t="b">
        <v>1</v>
      </c>
    </row>
    <row r="45" spans="1:11" x14ac:dyDescent="0.25">
      <c r="A45" s="14" t="s">
        <v>13</v>
      </c>
      <c r="B45" s="15" t="s">
        <v>12</v>
      </c>
      <c r="C45" s="4">
        <v>3828</v>
      </c>
      <c r="D45" s="4">
        <v>0.2375117341989203</v>
      </c>
      <c r="E45" s="4">
        <v>4.3747000000000001E-2</v>
      </c>
      <c r="F45" s="4">
        <v>0.65132666676019668</v>
      </c>
      <c r="G45" s="4">
        <v>3.9851999999999999E-2</v>
      </c>
      <c r="H45" s="4">
        <v>0.41381493256127638</v>
      </c>
      <c r="I45" s="4">
        <v>-3.8950000000000026E-3</v>
      </c>
      <c r="J45" s="4">
        <v>0.41770993256127636</v>
      </c>
      <c r="K45" s="5" t="b">
        <v>1</v>
      </c>
    </row>
    <row r="46" spans="1:11" x14ac:dyDescent="0.25">
      <c r="A46" s="12" t="s">
        <v>14</v>
      </c>
      <c r="B46" s="13" t="s">
        <v>12</v>
      </c>
      <c r="C46" s="2">
        <v>3828</v>
      </c>
      <c r="D46" s="2">
        <v>-0.18714584904618409</v>
      </c>
      <c r="E46" s="2">
        <v>9.6906000000000006E-2</v>
      </c>
      <c r="F46" s="2">
        <v>-0.5452619834491772</v>
      </c>
      <c r="G46" s="2">
        <v>1.2330000000000001E-2</v>
      </c>
      <c r="H46" s="2">
        <v>-0.35811613440299311</v>
      </c>
      <c r="I46" s="2">
        <v>-8.4576000000000012E-2</v>
      </c>
      <c r="J46" s="2">
        <v>-0.27354013440299307</v>
      </c>
      <c r="K46" s="3" t="b">
        <v>1</v>
      </c>
    </row>
    <row r="47" spans="1:11" x14ac:dyDescent="0.25">
      <c r="A47" s="14" t="s">
        <v>15</v>
      </c>
      <c r="B47" s="15" t="s">
        <v>12</v>
      </c>
      <c r="C47" s="4">
        <v>3828</v>
      </c>
      <c r="D47" s="4">
        <v>0.1271032202314345</v>
      </c>
      <c r="E47" s="4">
        <v>5.4903E-2</v>
      </c>
      <c r="F47" s="4">
        <v>-0.24379404619850137</v>
      </c>
      <c r="G47" s="4">
        <v>-0.12700900000000001</v>
      </c>
      <c r="H47" s="4">
        <v>-0.37089726642993587</v>
      </c>
      <c r="I47" s="4">
        <v>-0.18191200000000002</v>
      </c>
      <c r="J47" s="4">
        <v>-0.18898526642993585</v>
      </c>
      <c r="K47" s="5" t="b">
        <v>1</v>
      </c>
    </row>
    <row r="48" spans="1:11" x14ac:dyDescent="0.25">
      <c r="A48" s="12" t="s">
        <v>16</v>
      </c>
      <c r="B48" s="13" t="s">
        <v>12</v>
      </c>
      <c r="C48" s="2">
        <v>3828</v>
      </c>
      <c r="D48" s="2">
        <v>-4.9742789968516297E-2</v>
      </c>
      <c r="E48" s="2">
        <v>4.6280000000000002E-2</v>
      </c>
      <c r="F48" s="2">
        <v>0.81274860535566129</v>
      </c>
      <c r="G48" s="2">
        <v>-5.0600000000000005E-4</v>
      </c>
      <c r="H48" s="2">
        <v>0.86249139532417762</v>
      </c>
      <c r="I48" s="2">
        <v>-4.6786000000000001E-2</v>
      </c>
      <c r="J48" s="2">
        <v>0.90927739532417762</v>
      </c>
      <c r="K48" s="3" t="b">
        <v>1</v>
      </c>
    </row>
    <row r="49" spans="1:11" x14ac:dyDescent="0.25">
      <c r="A49" s="14" t="s">
        <v>17</v>
      </c>
      <c r="B49" s="15" t="s">
        <v>12</v>
      </c>
      <c r="C49" s="4">
        <v>3828</v>
      </c>
      <c r="D49" s="4">
        <v>-0.29644709660431301</v>
      </c>
      <c r="E49" s="4">
        <v>0.175566</v>
      </c>
      <c r="F49" s="4">
        <v>0.29983842433421098</v>
      </c>
      <c r="G49" s="4">
        <v>3.6249999999999998E-2</v>
      </c>
      <c r="H49" s="4">
        <v>0.59628552093852405</v>
      </c>
      <c r="I49" s="4">
        <v>-0.139316</v>
      </c>
      <c r="J49" s="4">
        <v>0.73560152093852404</v>
      </c>
      <c r="K49" s="5" t="b">
        <v>1</v>
      </c>
    </row>
    <row r="50" spans="1:11" x14ac:dyDescent="0.25">
      <c r="A50" s="12" t="s">
        <v>18</v>
      </c>
      <c r="B50" s="13" t="s">
        <v>12</v>
      </c>
      <c r="C50" s="2">
        <v>3828</v>
      </c>
      <c r="D50" s="2">
        <v>2.8506044505690999E-3</v>
      </c>
      <c r="E50" s="2">
        <v>0.13925399999999999</v>
      </c>
      <c r="F50" s="2">
        <v>7.1472208075291199E-2</v>
      </c>
      <c r="G50" s="2">
        <v>0.217226</v>
      </c>
      <c r="H50" s="2">
        <v>6.8621603624722097E-2</v>
      </c>
      <c r="I50" s="2">
        <v>7.7972000000000014E-2</v>
      </c>
      <c r="J50" s="2">
        <v>-9.3503963752779168E-3</v>
      </c>
      <c r="K50" s="3" t="b">
        <v>1</v>
      </c>
    </row>
    <row r="51" spans="1:11" x14ac:dyDescent="0.25">
      <c r="A51" s="14" t="s">
        <v>19</v>
      </c>
      <c r="B51" s="15" t="s">
        <v>12</v>
      </c>
      <c r="C51" s="4">
        <v>3828</v>
      </c>
      <c r="D51" s="4">
        <v>0.26277257320987579</v>
      </c>
      <c r="E51" s="4">
        <v>0.19956699999999999</v>
      </c>
      <c r="F51" s="4">
        <v>-0.47630537550839724</v>
      </c>
      <c r="G51" s="4">
        <v>-0.25957200000000002</v>
      </c>
      <c r="H51" s="4">
        <v>-0.73907794871827304</v>
      </c>
      <c r="I51" s="4">
        <v>-0.45913900000000002</v>
      </c>
      <c r="J51" s="4">
        <v>-0.27993894871827302</v>
      </c>
      <c r="K51" s="5" t="b">
        <v>1</v>
      </c>
    </row>
    <row r="52" spans="1:11" x14ac:dyDescent="0.25">
      <c r="A52" s="12" t="s">
        <v>20</v>
      </c>
      <c r="B52" s="13" t="s">
        <v>12</v>
      </c>
      <c r="C52" s="2">
        <v>3828</v>
      </c>
      <c r="D52" s="2">
        <v>8.9380653149551695E-2</v>
      </c>
      <c r="E52" s="2">
        <v>3.1259000000000002E-2</v>
      </c>
      <c r="F52" s="2">
        <v>0.1331729009293659</v>
      </c>
      <c r="G52" s="2">
        <v>7.2361999999999996E-2</v>
      </c>
      <c r="H52" s="2">
        <v>4.3792247779814206E-2</v>
      </c>
      <c r="I52" s="2">
        <v>4.1102999999999994E-2</v>
      </c>
      <c r="J52" s="2">
        <v>2.689247779814212E-3</v>
      </c>
      <c r="K52" s="3" t="b">
        <v>1</v>
      </c>
    </row>
    <row r="53" spans="1:11" x14ac:dyDescent="0.25">
      <c r="A53" s="14" t="s">
        <v>21</v>
      </c>
      <c r="B53" s="15" t="s">
        <v>12</v>
      </c>
      <c r="C53" s="4">
        <v>3828</v>
      </c>
      <c r="D53" s="4">
        <v>0.6169810193636821</v>
      </c>
      <c r="E53" s="4">
        <v>0.175673</v>
      </c>
      <c r="F53" s="4">
        <v>-0.40837066756123525</v>
      </c>
      <c r="G53" s="4">
        <v>0.165189</v>
      </c>
      <c r="H53" s="4">
        <v>-1.0253516869249173</v>
      </c>
      <c r="I53" s="4">
        <v>-1.0483999999999993E-2</v>
      </c>
      <c r="J53" s="4">
        <v>-1.0148676869249174</v>
      </c>
      <c r="K53" s="5" t="b">
        <v>1</v>
      </c>
    </row>
    <row r="54" spans="1:11" x14ac:dyDescent="0.25">
      <c r="A54" s="12" t="s">
        <v>22</v>
      </c>
      <c r="B54" s="13" t="s">
        <v>12</v>
      </c>
      <c r="C54" s="2">
        <v>3828</v>
      </c>
      <c r="D54" s="2">
        <v>0.2230825589129648</v>
      </c>
      <c r="E54" s="2">
        <v>-1.5774E-2</v>
      </c>
      <c r="F54" s="2">
        <v>-0.61294434178396151</v>
      </c>
      <c r="G54" s="2">
        <v>0.135711</v>
      </c>
      <c r="H54" s="2">
        <v>-0.83602690069692631</v>
      </c>
      <c r="I54" s="2">
        <v>0.15148500000000001</v>
      </c>
      <c r="J54" s="2">
        <v>-0.98751190069692629</v>
      </c>
      <c r="K54" s="3" t="b">
        <v>1</v>
      </c>
    </row>
    <row r="55" spans="1:11" x14ac:dyDescent="0.25">
      <c r="A55" s="14" t="s">
        <v>23</v>
      </c>
      <c r="B55" s="15" t="s">
        <v>12</v>
      </c>
      <c r="C55" s="4">
        <v>3828</v>
      </c>
      <c r="D55" s="4">
        <v>-4.8505198244722103E-2</v>
      </c>
      <c r="E55" s="4">
        <v>-2.6273999999999999E-2</v>
      </c>
      <c r="F55" s="4">
        <v>-0.30934871953540671</v>
      </c>
      <c r="G55" s="4">
        <v>-0.16467399999999999</v>
      </c>
      <c r="H55" s="4">
        <v>-0.26084352129068461</v>
      </c>
      <c r="I55" s="4">
        <v>-0.1384</v>
      </c>
      <c r="J55" s="4">
        <v>-0.12244352129068461</v>
      </c>
      <c r="K55" s="5" t="b">
        <v>1</v>
      </c>
    </row>
    <row r="56" spans="1:11" x14ac:dyDescent="0.25">
      <c r="A56" s="12" t="s">
        <v>24</v>
      </c>
      <c r="B56" s="13" t="s">
        <v>12</v>
      </c>
      <c r="C56" s="2">
        <v>3828</v>
      </c>
      <c r="D56" s="2">
        <v>8.9082421743525694E-2</v>
      </c>
      <c r="E56" s="2">
        <v>8.8932999999999998E-2</v>
      </c>
      <c r="F56" s="2">
        <v>3.9944205669298932E-2</v>
      </c>
      <c r="G56" s="2">
        <v>-5.9866999999999997E-2</v>
      </c>
      <c r="H56" s="2">
        <v>-4.9138216074226762E-2</v>
      </c>
      <c r="I56" s="2">
        <v>-0.14879999999999999</v>
      </c>
      <c r="J56" s="2">
        <v>9.9661783925773226E-2</v>
      </c>
      <c r="K56" s="3" t="b">
        <v>1</v>
      </c>
    </row>
    <row r="57" spans="1:11" x14ac:dyDescent="0.25">
      <c r="A57" s="14" t="s">
        <v>25</v>
      </c>
      <c r="B57" s="15" t="s">
        <v>12</v>
      </c>
      <c r="C57" s="4">
        <v>3828</v>
      </c>
      <c r="D57" s="4">
        <v>0.14129205378642359</v>
      </c>
      <c r="E57" s="4">
        <v>0.16705999999999999</v>
      </c>
      <c r="F57" s="4">
        <v>-0.33895544249073845</v>
      </c>
      <c r="G57" s="4">
        <v>6.4032000000000006E-2</v>
      </c>
      <c r="H57" s="4">
        <v>-0.48024749627716201</v>
      </c>
      <c r="I57" s="4">
        <v>-0.10302799999999998</v>
      </c>
      <c r="J57" s="4">
        <v>-0.377219496277162</v>
      </c>
      <c r="K57" s="5" t="b">
        <v>1</v>
      </c>
    </row>
    <row r="58" spans="1:11" x14ac:dyDescent="0.25">
      <c r="A58" s="12" t="s">
        <v>26</v>
      </c>
      <c r="B58" s="13" t="s">
        <v>12</v>
      </c>
      <c r="C58" s="2">
        <v>3828</v>
      </c>
      <c r="D58" s="2">
        <v>-0.1848361842128097</v>
      </c>
      <c r="E58" s="2">
        <v>2.3885E-2</v>
      </c>
      <c r="F58" s="2">
        <v>-4.6831447372362688E-3</v>
      </c>
      <c r="G58" s="2">
        <v>1.4027E-2</v>
      </c>
      <c r="H58" s="2">
        <v>0.18015303947557343</v>
      </c>
      <c r="I58" s="2">
        <v>-9.8580000000000004E-3</v>
      </c>
      <c r="J58" s="2">
        <v>0.19001103947557343</v>
      </c>
      <c r="K58" s="3" t="b">
        <v>1</v>
      </c>
    </row>
    <row r="59" spans="1:11" x14ac:dyDescent="0.25">
      <c r="A59" s="14" t="s">
        <v>27</v>
      </c>
      <c r="B59" s="15" t="s">
        <v>12</v>
      </c>
      <c r="C59" s="4">
        <v>3828</v>
      </c>
      <c r="D59" s="4">
        <v>0.1406087010004935</v>
      </c>
      <c r="E59" s="4">
        <v>-4.7580000000000001E-3</v>
      </c>
      <c r="F59" s="4">
        <v>-0.21881743223621036</v>
      </c>
      <c r="G59" s="4">
        <v>2.1163999999999999E-2</v>
      </c>
      <c r="H59" s="4">
        <v>-0.35942613323670386</v>
      </c>
      <c r="I59" s="4">
        <v>2.5922000000000001E-2</v>
      </c>
      <c r="J59" s="4">
        <v>-0.38534813323670386</v>
      </c>
      <c r="K59" s="5" t="b">
        <v>1</v>
      </c>
    </row>
    <row r="60" spans="1:11" x14ac:dyDescent="0.25">
      <c r="A60" s="12" t="s">
        <v>28</v>
      </c>
      <c r="B60" s="13" t="s">
        <v>12</v>
      </c>
      <c r="C60" s="2">
        <v>3828</v>
      </c>
      <c r="D60" s="2">
        <v>1.03944873931981E-2</v>
      </c>
      <c r="E60" s="2">
        <v>3.1260000000000003E-2</v>
      </c>
      <c r="F60" s="2">
        <v>0.14131730863127284</v>
      </c>
      <c r="G60" s="2">
        <v>-2.2945E-2</v>
      </c>
      <c r="H60" s="2">
        <v>0.13092282123807475</v>
      </c>
      <c r="I60" s="2">
        <v>-5.4205000000000003E-2</v>
      </c>
      <c r="J60" s="2">
        <v>0.18512782123807475</v>
      </c>
      <c r="K60" s="3" t="b">
        <v>1</v>
      </c>
    </row>
    <row r="61" spans="1:11" x14ac:dyDescent="0.25">
      <c r="A61" s="14" t="s">
        <v>29</v>
      </c>
      <c r="B61" s="15" t="s">
        <v>12</v>
      </c>
      <c r="C61" s="4">
        <v>3828</v>
      </c>
      <c r="D61" s="4">
        <v>1.2795216426735585</v>
      </c>
      <c r="E61" s="4">
        <v>0.313056</v>
      </c>
      <c r="F61" s="4">
        <v>-0.3422203670056283</v>
      </c>
      <c r="G61" s="4">
        <v>-0.25945200000000002</v>
      </c>
      <c r="H61" s="4">
        <v>-1.6217420096791868</v>
      </c>
      <c r="I61" s="4">
        <v>-0.57250800000000002</v>
      </c>
      <c r="J61" s="4">
        <v>-1.0492340096791868</v>
      </c>
      <c r="K61" s="5" t="b">
        <v>1</v>
      </c>
    </row>
    <row r="62" spans="1:11" x14ac:dyDescent="0.25">
      <c r="A62" s="12" t="s">
        <v>30</v>
      </c>
      <c r="B62" s="13" t="s">
        <v>12</v>
      </c>
      <c r="C62" s="2">
        <v>3828</v>
      </c>
      <c r="D62" s="2">
        <v>8.9059255709656907E-2</v>
      </c>
      <c r="E62" s="2">
        <v>9.4149999999999998E-2</v>
      </c>
      <c r="F62" s="2">
        <v>-0.52163465222250882</v>
      </c>
      <c r="G62" s="2">
        <v>7.3126999999999998E-2</v>
      </c>
      <c r="H62" s="2">
        <v>-0.61069390793216571</v>
      </c>
      <c r="I62" s="2">
        <v>-2.1023E-2</v>
      </c>
      <c r="J62" s="2">
        <v>-0.5896709079321657</v>
      </c>
      <c r="K62" s="3" t="b">
        <v>1</v>
      </c>
    </row>
    <row r="63" spans="1:11" x14ac:dyDescent="0.25">
      <c r="A63" s="14" t="s">
        <v>31</v>
      </c>
      <c r="B63" s="15" t="s">
        <v>12</v>
      </c>
      <c r="C63" s="4">
        <v>3828</v>
      </c>
      <c r="D63" s="4">
        <v>-1.6762686314884302E-2</v>
      </c>
      <c r="E63" s="4">
        <v>1.6372000000000001E-2</v>
      </c>
      <c r="F63" s="4">
        <v>-0.31777784014114757</v>
      </c>
      <c r="G63" s="4">
        <v>0.111161</v>
      </c>
      <c r="H63" s="4">
        <v>-0.30101515382626326</v>
      </c>
      <c r="I63" s="4">
        <v>9.4788999999999998E-2</v>
      </c>
      <c r="J63" s="4">
        <v>-0.39580415382626327</v>
      </c>
      <c r="K63" s="5" t="b">
        <v>1</v>
      </c>
    </row>
    <row r="64" spans="1:11" x14ac:dyDescent="0.25">
      <c r="A64" s="12" t="s">
        <v>32</v>
      </c>
      <c r="B64" s="13" t="s">
        <v>12</v>
      </c>
      <c r="C64" s="2">
        <v>3828</v>
      </c>
      <c r="D64" s="2">
        <v>1.1099412435174054</v>
      </c>
      <c r="E64" s="2">
        <v>0.33707300000000001</v>
      </c>
      <c r="F64" s="2">
        <v>-0.6830481013712173</v>
      </c>
      <c r="G64" s="2">
        <v>3.6685000000000002E-2</v>
      </c>
      <c r="H64" s="2">
        <v>-1.7929893448886227</v>
      </c>
      <c r="I64" s="2">
        <v>-0.30038799999999999</v>
      </c>
      <c r="J64" s="2">
        <v>-1.4926013448886226</v>
      </c>
      <c r="K64" s="3" t="b">
        <v>1</v>
      </c>
    </row>
    <row r="65" spans="1:11" x14ac:dyDescent="0.25">
      <c r="A65" s="14" t="s">
        <v>33</v>
      </c>
      <c r="B65" s="15" t="s">
        <v>12</v>
      </c>
      <c r="C65" s="4">
        <v>3828</v>
      </c>
      <c r="D65" s="4">
        <v>0.38203096187592062</v>
      </c>
      <c r="E65" s="4">
        <v>0.2712</v>
      </c>
      <c r="F65" s="4">
        <v>-0.3824932696206757</v>
      </c>
      <c r="G65" s="4">
        <v>9.7201999999999997E-2</v>
      </c>
      <c r="H65" s="4">
        <v>-0.76452423149659632</v>
      </c>
      <c r="I65" s="4">
        <v>-0.17399799999999999</v>
      </c>
      <c r="J65" s="4">
        <v>-0.59052623149659633</v>
      </c>
      <c r="K65" s="5" t="b">
        <v>1</v>
      </c>
    </row>
    <row r="66" spans="1:11" x14ac:dyDescent="0.25">
      <c r="A66" s="12" t="s">
        <v>34</v>
      </c>
      <c r="B66" s="13" t="s">
        <v>12</v>
      </c>
      <c r="C66" s="2">
        <v>3828</v>
      </c>
      <c r="D66" s="2">
        <v>-0.32306567931786712</v>
      </c>
      <c r="E66" s="2">
        <v>3.2065000000000003E-2</v>
      </c>
      <c r="F66" s="2">
        <v>1.5232434479305423</v>
      </c>
      <c r="G66" s="2">
        <v>3.5300000000000002E-3</v>
      </c>
      <c r="H66" s="2">
        <v>1.8463091272484093</v>
      </c>
      <c r="I66" s="2">
        <v>-2.8535000000000005E-2</v>
      </c>
      <c r="J66" s="2">
        <v>1.8748441272484093</v>
      </c>
      <c r="K66" s="3" t="b">
        <v>1</v>
      </c>
    </row>
    <row r="67" spans="1:11" x14ac:dyDescent="0.25">
      <c r="A67" s="14" t="s">
        <v>35</v>
      </c>
      <c r="B67" s="15" t="s">
        <v>12</v>
      </c>
      <c r="C67" s="4">
        <v>3828</v>
      </c>
      <c r="D67" s="4">
        <v>0.66498543267650545</v>
      </c>
      <c r="E67" s="4">
        <v>0.24563599999999999</v>
      </c>
      <c r="F67" s="4">
        <v>-0.47291539693128898</v>
      </c>
      <c r="G67" s="4">
        <v>7.9916000000000001E-2</v>
      </c>
      <c r="H67" s="4">
        <v>-1.1379008296077944</v>
      </c>
      <c r="I67" s="4">
        <v>-0.16571999999999998</v>
      </c>
      <c r="J67" s="4">
        <v>-0.97218082960779439</v>
      </c>
      <c r="K67" s="5" t="b">
        <v>1</v>
      </c>
    </row>
    <row r="68" spans="1:11" x14ac:dyDescent="0.25">
      <c r="A68" s="12" t="s">
        <v>36</v>
      </c>
      <c r="B68" s="13" t="s">
        <v>12</v>
      </c>
      <c r="C68" s="2">
        <v>3828</v>
      </c>
      <c r="D68" s="2">
        <v>0.35562064460676102</v>
      </c>
      <c r="E68" s="2">
        <v>8.1313999999999997E-2</v>
      </c>
      <c r="F68" s="2">
        <v>-0.59376148827633524</v>
      </c>
      <c r="G68" s="2">
        <v>0.14954899999999999</v>
      </c>
      <c r="H68" s="2">
        <v>-0.94938213288309625</v>
      </c>
      <c r="I68" s="2">
        <v>6.823499999999999E-2</v>
      </c>
      <c r="J68" s="2">
        <v>-1.0176171328830963</v>
      </c>
      <c r="K68" s="3" t="b">
        <v>1</v>
      </c>
    </row>
    <row r="69" spans="1:11" x14ac:dyDescent="0.25">
      <c r="A69" s="14" t="s">
        <v>37</v>
      </c>
      <c r="B69" s="15" t="s">
        <v>12</v>
      </c>
      <c r="C69" s="4">
        <v>3828</v>
      </c>
      <c r="D69" s="4">
        <v>-0.31526401649961427</v>
      </c>
      <c r="E69" s="4">
        <v>-8.2865999999999995E-2</v>
      </c>
      <c r="F69" s="4">
        <v>-0.53105171865210621</v>
      </c>
      <c r="G69" s="4">
        <v>4.7937E-2</v>
      </c>
      <c r="H69" s="4">
        <v>-0.21578770215249193</v>
      </c>
      <c r="I69" s="4">
        <v>0.130803</v>
      </c>
      <c r="J69" s="4">
        <v>-0.34659070215249194</v>
      </c>
      <c r="K69" s="5" t="b">
        <v>1</v>
      </c>
    </row>
    <row r="70" spans="1:11" x14ac:dyDescent="0.25">
      <c r="A70" s="12" t="s">
        <v>38</v>
      </c>
      <c r="B70" s="13" t="s">
        <v>12</v>
      </c>
      <c r="C70" s="2">
        <v>3828</v>
      </c>
      <c r="D70" s="2">
        <v>0.29757741381699371</v>
      </c>
      <c r="E70" s="2">
        <v>-0.168438</v>
      </c>
      <c r="F70" s="2">
        <v>0.95515145487110242</v>
      </c>
      <c r="G70" s="2">
        <v>0.142877</v>
      </c>
      <c r="H70" s="2">
        <v>0.65757404105410866</v>
      </c>
      <c r="I70" s="2">
        <v>0.31131500000000001</v>
      </c>
      <c r="J70" s="2">
        <v>0.34625904105410865</v>
      </c>
      <c r="K70" s="3" t="b">
        <v>1</v>
      </c>
    </row>
    <row r="71" spans="1:11" x14ac:dyDescent="0.25">
      <c r="A71" s="14" t="s">
        <v>39</v>
      </c>
      <c r="B71" s="15" t="s">
        <v>12</v>
      </c>
      <c r="C71" s="4">
        <v>3828</v>
      </c>
      <c r="D71" s="4">
        <v>0.184667210187723</v>
      </c>
      <c r="E71" s="4">
        <v>6.3566999999999999E-2</v>
      </c>
      <c r="F71" s="4">
        <v>-0.44540183750774109</v>
      </c>
      <c r="G71" s="4">
        <v>3.7657999999999997E-2</v>
      </c>
      <c r="H71" s="4">
        <v>-0.63006904769546412</v>
      </c>
      <c r="I71" s="4">
        <v>-2.5909000000000001E-2</v>
      </c>
      <c r="J71" s="4">
        <v>-0.60416004769546416</v>
      </c>
      <c r="K71" s="5" t="b">
        <v>1</v>
      </c>
    </row>
    <row r="72" spans="1:11" x14ac:dyDescent="0.25">
      <c r="A72" s="12" t="s">
        <v>41</v>
      </c>
      <c r="B72" s="13" t="s">
        <v>12</v>
      </c>
      <c r="C72" s="2">
        <v>3828</v>
      </c>
      <c r="D72" s="2">
        <v>-0.22000947470347421</v>
      </c>
      <c r="E72" s="2">
        <v>2.8622000000000002E-2</v>
      </c>
      <c r="F72" s="2">
        <v>0.29653917632731508</v>
      </c>
      <c r="G72" s="2">
        <v>5.9489E-2</v>
      </c>
      <c r="H72" s="2">
        <v>0.51654865103078929</v>
      </c>
      <c r="I72" s="2">
        <v>3.0866999999999999E-2</v>
      </c>
      <c r="J72" s="2">
        <v>0.48568165103078931</v>
      </c>
      <c r="K72" s="3" t="b">
        <v>1</v>
      </c>
    </row>
    <row r="73" spans="1:11" x14ac:dyDescent="0.25">
      <c r="A73" s="14" t="s">
        <v>42</v>
      </c>
      <c r="B73" s="15" t="s">
        <v>12</v>
      </c>
      <c r="C73" s="4">
        <v>3828</v>
      </c>
      <c r="D73" s="4">
        <v>1.1209643384219838</v>
      </c>
      <c r="E73" s="4">
        <v>0.35854399999999997</v>
      </c>
      <c r="F73" s="4">
        <v>-0.6728807684553173</v>
      </c>
      <c r="G73" s="4">
        <v>0.14568600000000001</v>
      </c>
      <c r="H73" s="4">
        <v>-1.7938451068773011</v>
      </c>
      <c r="I73" s="4">
        <v>-0.21285799999999996</v>
      </c>
      <c r="J73" s="4">
        <v>-1.5809871068773012</v>
      </c>
      <c r="K73" s="5" t="b">
        <v>1</v>
      </c>
    </row>
    <row r="74" spans="1:11" x14ac:dyDescent="0.25">
      <c r="A74" s="12" t="s">
        <v>43</v>
      </c>
      <c r="B74" s="13" t="s">
        <v>12</v>
      </c>
      <c r="C74" s="2">
        <v>3828</v>
      </c>
      <c r="D74" s="2">
        <v>0.49743065969255412</v>
      </c>
      <c r="E74" s="2">
        <v>0.22115000000000001</v>
      </c>
      <c r="F74" s="2">
        <v>-0.32663767835509849</v>
      </c>
      <c r="G74" s="2">
        <v>-0.16395299999999999</v>
      </c>
      <c r="H74" s="2">
        <v>-0.82406833804765256</v>
      </c>
      <c r="I74" s="2">
        <v>-0.38510299999999997</v>
      </c>
      <c r="J74" s="2">
        <v>-0.43896533804765259</v>
      </c>
      <c r="K74" s="3" t="b">
        <v>1</v>
      </c>
    </row>
    <row r="75" spans="1:11" x14ac:dyDescent="0.25">
      <c r="A75" s="14" t="s">
        <v>44</v>
      </c>
      <c r="B75" s="15" t="s">
        <v>12</v>
      </c>
      <c r="C75" s="4">
        <v>3828</v>
      </c>
      <c r="D75" s="4">
        <v>1.0272264220284939</v>
      </c>
      <c r="E75" s="4">
        <v>0.223581</v>
      </c>
      <c r="F75" s="4">
        <v>-6.6671307587400377E-2</v>
      </c>
      <c r="G75" s="4">
        <v>6.0359000000000003E-2</v>
      </c>
      <c r="H75" s="4">
        <v>-1.0938977296158943</v>
      </c>
      <c r="I75" s="4">
        <v>-0.16322200000000001</v>
      </c>
      <c r="J75" s="4">
        <v>-0.93067572961589429</v>
      </c>
      <c r="K75" s="5" t="b">
        <v>1</v>
      </c>
    </row>
    <row r="76" spans="1:11" x14ac:dyDescent="0.25">
      <c r="A76" s="12" t="s">
        <v>45</v>
      </c>
      <c r="B76" s="13" t="s">
        <v>12</v>
      </c>
      <c r="C76" s="2">
        <v>3828</v>
      </c>
      <c r="D76" s="2">
        <v>-0.42605154954134239</v>
      </c>
      <c r="E76" s="2">
        <v>0.11131199999999999</v>
      </c>
      <c r="F76" s="2">
        <v>-0.64939700446459292</v>
      </c>
      <c r="G76" s="2">
        <v>-1.8539E-2</v>
      </c>
      <c r="H76" s="2">
        <v>-0.22334545492325053</v>
      </c>
      <c r="I76" s="2">
        <v>-0.12985099999999999</v>
      </c>
      <c r="J76" s="2">
        <v>-9.3494454923250536E-2</v>
      </c>
      <c r="K76" s="3" t="b">
        <v>1</v>
      </c>
    </row>
    <row r="77" spans="1:11" x14ac:dyDescent="0.25">
      <c r="A77" s="14" t="s">
        <v>46</v>
      </c>
      <c r="B77" s="15" t="s">
        <v>12</v>
      </c>
      <c r="C77" s="4">
        <v>3828</v>
      </c>
      <c r="D77" s="4">
        <v>-0.3243543790695238</v>
      </c>
      <c r="E77" s="4">
        <v>-2.4718E-2</v>
      </c>
      <c r="F77" s="4">
        <v>-0.26219490595446665</v>
      </c>
      <c r="G77" s="4">
        <v>-5.2999999999999998E-4</v>
      </c>
      <c r="H77" s="4">
        <v>6.2159473115057151E-2</v>
      </c>
      <c r="I77" s="4">
        <v>2.4188000000000001E-2</v>
      </c>
      <c r="J77" s="4">
        <v>3.797147311505715E-2</v>
      </c>
      <c r="K77" s="5" t="b">
        <v>1</v>
      </c>
    </row>
    <row r="78" spans="1:11" x14ac:dyDescent="0.25">
      <c r="A78" s="12" t="s">
        <v>47</v>
      </c>
      <c r="B78" s="13" t="s">
        <v>12</v>
      </c>
      <c r="C78" s="2">
        <v>3828</v>
      </c>
      <c r="D78" s="2">
        <v>1.2042281727899946</v>
      </c>
      <c r="E78" s="2">
        <v>0.25606000000000001</v>
      </c>
      <c r="F78" s="2">
        <v>-0.6368441932967368</v>
      </c>
      <c r="G78" s="2">
        <v>-0.10309599999999999</v>
      </c>
      <c r="H78" s="2">
        <v>-1.8410723660867314</v>
      </c>
      <c r="I78" s="2">
        <v>-0.35915600000000003</v>
      </c>
      <c r="J78" s="2">
        <v>-1.4819163660867314</v>
      </c>
      <c r="K78" s="3" t="b">
        <v>1</v>
      </c>
    </row>
    <row r="79" spans="1:11" x14ac:dyDescent="0.25">
      <c r="A79" s="14" t="s">
        <v>48</v>
      </c>
      <c r="B79" s="15" t="s">
        <v>12</v>
      </c>
      <c r="C79" s="4">
        <v>3828</v>
      </c>
      <c r="D79" s="4">
        <v>8.9382066231793705E-2</v>
      </c>
      <c r="E79" s="4">
        <v>4.3750000000000004E-3</v>
      </c>
      <c r="F79" s="4">
        <v>0.2609641529933372</v>
      </c>
      <c r="G79" s="4">
        <v>-7.4530000000000004E-3</v>
      </c>
      <c r="H79" s="4">
        <v>0.17158208676154349</v>
      </c>
      <c r="I79" s="4">
        <v>-1.1828000000000002E-2</v>
      </c>
      <c r="J79" s="4">
        <v>0.18341008676154349</v>
      </c>
      <c r="K79" s="5" t="b">
        <v>1</v>
      </c>
    </row>
    <row r="80" spans="1:11" x14ac:dyDescent="0.25">
      <c r="A80" s="12" t="s">
        <v>49</v>
      </c>
      <c r="B80" s="13" t="s">
        <v>12</v>
      </c>
      <c r="C80" s="2">
        <v>3828</v>
      </c>
      <c r="D80" s="2">
        <v>0.11636086753551229</v>
      </c>
      <c r="E80" s="2">
        <v>-5.7009999999999998E-2</v>
      </c>
      <c r="F80" s="2">
        <v>0.69490312653308584</v>
      </c>
      <c r="G80" s="2">
        <v>7.9455999999999999E-2</v>
      </c>
      <c r="H80" s="2">
        <v>0.5785422589975735</v>
      </c>
      <c r="I80" s="2">
        <v>0.136466</v>
      </c>
      <c r="J80" s="2">
        <v>0.44207625899757352</v>
      </c>
      <c r="K80" s="3" t="b">
        <v>1</v>
      </c>
    </row>
    <row r="81" spans="1:11" x14ac:dyDescent="0.25">
      <c r="A81" s="14" t="s">
        <v>51</v>
      </c>
      <c r="B81" s="15" t="s">
        <v>12</v>
      </c>
      <c r="C81" s="4">
        <v>3828</v>
      </c>
      <c r="D81" s="4">
        <v>0.3926708242387193</v>
      </c>
      <c r="E81" s="4">
        <v>0.17669499999999999</v>
      </c>
      <c r="F81" s="4">
        <v>1.0526506288729913</v>
      </c>
      <c r="G81" s="4">
        <v>-1.6920000000000001E-2</v>
      </c>
      <c r="H81" s="4">
        <v>0.65997980463427197</v>
      </c>
      <c r="I81" s="4">
        <v>-0.19361499999999998</v>
      </c>
      <c r="J81" s="4">
        <v>0.85359480463427195</v>
      </c>
      <c r="K81" s="5" t="b">
        <v>1</v>
      </c>
    </row>
    <row r="83" spans="1:11" x14ac:dyDescent="0.25">
      <c r="C83" t="s">
        <v>52</v>
      </c>
      <c r="D83">
        <f>MIN(D44:D81)</f>
        <v>-0.45587349888373863</v>
      </c>
      <c r="E83">
        <f t="shared" ref="E83:J83" si="0">MIN(E44:E81)</f>
        <v>-0.168438</v>
      </c>
      <c r="F83">
        <f t="shared" si="0"/>
        <v>-0.6830481013712173</v>
      </c>
      <c r="G83">
        <f t="shared" si="0"/>
        <v>-0.25957200000000002</v>
      </c>
      <c r="H83">
        <f t="shared" si="0"/>
        <v>-1.8410723660867314</v>
      </c>
      <c r="I83">
        <f t="shared" si="0"/>
        <v>-0.57250800000000002</v>
      </c>
      <c r="J83">
        <f t="shared" si="0"/>
        <v>-1.5809871068773012</v>
      </c>
    </row>
    <row r="84" spans="1:11" x14ac:dyDescent="0.25">
      <c r="C84" t="s">
        <v>53</v>
      </c>
      <c r="D84">
        <f>MAX(D44:D81)</f>
        <v>1.2795216426735585</v>
      </c>
      <c r="E84">
        <f t="shared" ref="E84:J84" si="1">MAX(E44:E81)</f>
        <v>0.35854399999999997</v>
      </c>
      <c r="F84">
        <f t="shared" si="1"/>
        <v>1.5232434479305423</v>
      </c>
      <c r="G84">
        <f t="shared" si="1"/>
        <v>0.217226</v>
      </c>
      <c r="H84">
        <f t="shared" si="1"/>
        <v>1.8463091272484093</v>
      </c>
      <c r="I84">
        <f t="shared" si="1"/>
        <v>0.31131500000000001</v>
      </c>
      <c r="J84">
        <f t="shared" si="1"/>
        <v>1.8748441272484093</v>
      </c>
    </row>
    <row r="85" spans="1:11" x14ac:dyDescent="0.25">
      <c r="C85" t="s">
        <v>54</v>
      </c>
      <c r="D85">
        <f>D84-D83</f>
        <v>1.735395141557297</v>
      </c>
      <c r="E85">
        <f t="shared" ref="E85:J85" si="2">E84-E83</f>
        <v>0.52698199999999995</v>
      </c>
      <c r="F85">
        <f t="shared" si="2"/>
        <v>2.2062915493017599</v>
      </c>
      <c r="G85">
        <f t="shared" si="2"/>
        <v>0.47679800000000006</v>
      </c>
      <c r="H85">
        <f t="shared" si="2"/>
        <v>3.687381493335141</v>
      </c>
      <c r="I85">
        <f t="shared" si="2"/>
        <v>0.88382300000000003</v>
      </c>
      <c r="J85">
        <f t="shared" si="2"/>
        <v>3.4558312341257107</v>
      </c>
    </row>
    <row r="88" spans="1:11" x14ac:dyDescent="0.25"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</row>
    <row r="89" spans="1:11" x14ac:dyDescent="0.25">
      <c r="C89" s="12" t="s">
        <v>11</v>
      </c>
      <c r="D89">
        <f>(D44-D$83)/D$85</f>
        <v>0</v>
      </c>
      <c r="E89">
        <f t="shared" ref="E89:J89" si="3">(E44-E$83)/E$85</f>
        <v>0.32681192146980359</v>
      </c>
      <c r="F89">
        <f t="shared" si="3"/>
        <v>0.6599867759850726</v>
      </c>
      <c r="G89">
        <f t="shared" si="3"/>
        <v>0.57748774113985368</v>
      </c>
      <c r="H89">
        <f t="shared" si="3"/>
        <v>0.83257482732801746</v>
      </c>
      <c r="I89">
        <f t="shared" si="3"/>
        <v>0.66132585370600216</v>
      </c>
      <c r="J89">
        <f t="shared" si="3"/>
        <v>0.80963118895024788</v>
      </c>
    </row>
    <row r="90" spans="1:11" x14ac:dyDescent="0.25">
      <c r="C90" s="14" t="s">
        <v>13</v>
      </c>
      <c r="D90">
        <f t="shared" ref="D90:J90" si="4">(D45-D$83)/D$85</f>
        <v>0.39955466998739753</v>
      </c>
      <c r="E90">
        <f t="shared" si="4"/>
        <v>0.4026418359640368</v>
      </c>
      <c r="F90">
        <f t="shared" si="4"/>
        <v>0.60480436892110323</v>
      </c>
      <c r="G90">
        <f t="shared" si="4"/>
        <v>0.62798921136414165</v>
      </c>
      <c r="H90">
        <f t="shared" si="4"/>
        <v>0.61151451313721283</v>
      </c>
      <c r="I90">
        <f t="shared" si="4"/>
        <v>0.64335619235978247</v>
      </c>
      <c r="J90">
        <f t="shared" si="4"/>
        <v>0.57835493229582635</v>
      </c>
    </row>
    <row r="91" spans="1:11" x14ac:dyDescent="0.25">
      <c r="C91" s="12" t="s">
        <v>14</v>
      </c>
      <c r="D91">
        <f t="shared" ref="D91:J91" si="5">(D46-D$83)/D$85</f>
        <v>0.15485098661530514</v>
      </c>
      <c r="E91">
        <f t="shared" si="5"/>
        <v>0.503516249131849</v>
      </c>
      <c r="F91">
        <f t="shared" si="5"/>
        <v>6.2451455232943355E-2</v>
      </c>
      <c r="G91">
        <f t="shared" si="5"/>
        <v>0.57026665380307806</v>
      </c>
      <c r="H91">
        <f t="shared" si="5"/>
        <v>0.40217054686751247</v>
      </c>
      <c r="I91">
        <f t="shared" si="5"/>
        <v>0.5520698148837494</v>
      </c>
      <c r="J91">
        <f t="shared" si="5"/>
        <v>0.37833067759892464</v>
      </c>
    </row>
    <row r="92" spans="1:11" x14ac:dyDescent="0.25">
      <c r="C92" s="14" t="s">
        <v>15</v>
      </c>
      <c r="D92">
        <f t="shared" ref="D92:J92" si="6">(D47-D$83)/D$85</f>
        <v>0.33593312851620954</v>
      </c>
      <c r="E92">
        <f t="shared" si="6"/>
        <v>0.4238114394799064</v>
      </c>
      <c r="F92">
        <f t="shared" si="6"/>
        <v>0.19909157305693786</v>
      </c>
      <c r="G92">
        <f t="shared" si="6"/>
        <v>0.27802759239761909</v>
      </c>
      <c r="H92">
        <f t="shared" si="6"/>
        <v>0.39870436577124008</v>
      </c>
      <c r="I92">
        <f t="shared" si="6"/>
        <v>0.44193916655257898</v>
      </c>
      <c r="J92">
        <f t="shared" si="6"/>
        <v>0.40279798003490391</v>
      </c>
    </row>
    <row r="93" spans="1:11" x14ac:dyDescent="0.25">
      <c r="C93" s="12" t="s">
        <v>16</v>
      </c>
      <c r="D93">
        <f t="shared" ref="D93:J93" si="7">(D48-D$83)/D$85</f>
        <v>0.23402780104061577</v>
      </c>
      <c r="E93">
        <f t="shared" si="7"/>
        <v>0.40744845174977523</v>
      </c>
      <c r="F93">
        <f t="shared" si="7"/>
        <v>0.67796874225451464</v>
      </c>
      <c r="G93">
        <f t="shared" si="7"/>
        <v>0.54334539993875808</v>
      </c>
      <c r="H93">
        <f t="shared" si="7"/>
        <v>0.73319339653288917</v>
      </c>
      <c r="I93">
        <f t="shared" si="7"/>
        <v>0.59482724482164417</v>
      </c>
      <c r="J93">
        <f t="shared" si="7"/>
        <v>0.72059783406393396</v>
      </c>
    </row>
    <row r="94" spans="1:11" x14ac:dyDescent="0.25">
      <c r="C94" s="14" t="s">
        <v>17</v>
      </c>
      <c r="D94">
        <f t="shared" ref="D94:J94" si="8">(D49-D$83)/D$85</f>
        <v>9.1867493726161209E-2</v>
      </c>
      <c r="E94">
        <f t="shared" si="8"/>
        <v>0.65278130941853807</v>
      </c>
      <c r="F94">
        <f t="shared" si="8"/>
        <v>0.44549258506496525</v>
      </c>
      <c r="G94">
        <f t="shared" si="8"/>
        <v>0.62043464947420079</v>
      </c>
      <c r="H94">
        <f t="shared" si="8"/>
        <v>0.66099965285141371</v>
      </c>
      <c r="I94">
        <f t="shared" si="8"/>
        <v>0.49013433685251462</v>
      </c>
      <c r="J94">
        <f t="shared" si="8"/>
        <v>0.67034194405673808</v>
      </c>
    </row>
    <row r="95" spans="1:11" x14ac:dyDescent="0.25">
      <c r="C95" s="12" t="s">
        <v>18</v>
      </c>
      <c r="D95">
        <f t="shared" ref="D95:J95" si="9">(D50-D$83)/D$85</f>
        <v>0.26433409449484863</v>
      </c>
      <c r="E95">
        <f t="shared" si="9"/>
        <v>0.58387573010083837</v>
      </c>
      <c r="F95">
        <f t="shared" si="9"/>
        <v>0.34198576778544826</v>
      </c>
      <c r="G95">
        <f t="shared" si="9"/>
        <v>1</v>
      </c>
      <c r="H95">
        <f t="shared" si="9"/>
        <v>0.51789975438212243</v>
      </c>
      <c r="I95">
        <f t="shared" si="9"/>
        <v>0.73598446747821689</v>
      </c>
      <c r="J95">
        <f t="shared" si="9"/>
        <v>0.4547782006778554</v>
      </c>
    </row>
    <row r="96" spans="1:11" x14ac:dyDescent="0.25">
      <c r="C96" s="14" t="s">
        <v>19</v>
      </c>
      <c r="D96">
        <f t="shared" ref="D96:J96" si="10">(D51-D$83)/D$85</f>
        <v>0.41411091623128593</v>
      </c>
      <c r="E96">
        <f t="shared" si="10"/>
        <v>0.69832555950677644</v>
      </c>
      <c r="F96">
        <f t="shared" si="10"/>
        <v>9.370598637711744E-2</v>
      </c>
      <c r="G96">
        <f t="shared" si="10"/>
        <v>0</v>
      </c>
      <c r="H96">
        <f t="shared" si="10"/>
        <v>0.29885554813362503</v>
      </c>
      <c r="I96">
        <f t="shared" si="10"/>
        <v>0.1282711583654193</v>
      </c>
      <c r="J96">
        <f t="shared" si="10"/>
        <v>0.37647907840852063</v>
      </c>
    </row>
    <row r="97" spans="3:10" x14ac:dyDescent="0.25">
      <c r="C97" s="12" t="s">
        <v>20</v>
      </c>
      <c r="D97">
        <f t="shared" ref="D97:J97" si="11">(D52-D$83)/D$85</f>
        <v>0.31419596550442908</v>
      </c>
      <c r="E97">
        <f t="shared" si="11"/>
        <v>0.37894463188496008</v>
      </c>
      <c r="F97">
        <f t="shared" si="11"/>
        <v>0.36995156082562985</v>
      </c>
      <c r="G97">
        <f t="shared" si="11"/>
        <v>0.69617322220311317</v>
      </c>
      <c r="H97">
        <f t="shared" si="11"/>
        <v>0.51116615334578097</v>
      </c>
      <c r="I97">
        <f t="shared" si="11"/>
        <v>0.69426910139247333</v>
      </c>
      <c r="J97">
        <f t="shared" si="11"/>
        <v>0.45826206413629134</v>
      </c>
    </row>
    <row r="98" spans="3:10" x14ac:dyDescent="0.25">
      <c r="C98" s="14" t="s">
        <v>21</v>
      </c>
      <c r="D98">
        <f t="shared" ref="D98:J98" si="12">(D53-D$83)/D$85</f>
        <v>0.61821915513988923</v>
      </c>
      <c r="E98">
        <f t="shared" si="12"/>
        <v>0.65298435240672359</v>
      </c>
      <c r="F98">
        <f t="shared" si="12"/>
        <v>0.12449734211097853</v>
      </c>
      <c r="G98">
        <f t="shared" si="12"/>
        <v>0.89086153884873676</v>
      </c>
      <c r="H98">
        <f t="shared" si="12"/>
        <v>0.22121949698890958</v>
      </c>
      <c r="I98">
        <f t="shared" si="12"/>
        <v>0.63590107974107946</v>
      </c>
      <c r="J98">
        <f t="shared" si="12"/>
        <v>0.16381570209854479</v>
      </c>
    </row>
    <row r="99" spans="3:10" x14ac:dyDescent="0.25">
      <c r="C99" s="12" t="s">
        <v>22</v>
      </c>
      <c r="D99">
        <f t="shared" ref="D99:J99" si="13">(D54-D$83)/D$85</f>
        <v>0.39124003608044361</v>
      </c>
      <c r="E99">
        <f t="shared" si="13"/>
        <v>0.28969490419027599</v>
      </c>
      <c r="F99">
        <f t="shared" si="13"/>
        <v>3.1774476772773751E-2</v>
      </c>
      <c r="G99">
        <f t="shared" si="13"/>
        <v>0.82903661508647264</v>
      </c>
      <c r="H99">
        <f t="shared" si="13"/>
        <v>0.27256346195976799</v>
      </c>
      <c r="I99">
        <f t="shared" si="13"/>
        <v>0.8191606237900575</v>
      </c>
      <c r="J99">
        <f t="shared" si="13"/>
        <v>0.17173153605416669</v>
      </c>
    </row>
    <row r="100" spans="3:10" x14ac:dyDescent="0.25">
      <c r="C100" s="14" t="s">
        <v>23</v>
      </c>
      <c r="D100">
        <f t="shared" ref="D100:J100" si="14">(D55-D$83)/D$85</f>
        <v>0.23474094797422052</v>
      </c>
      <c r="E100">
        <f t="shared" si="14"/>
        <v>0.26977012497580566</v>
      </c>
      <c r="F100">
        <f t="shared" si="14"/>
        <v>0.1693789662359346</v>
      </c>
      <c r="G100">
        <f t="shared" si="14"/>
        <v>0.19903187513370449</v>
      </c>
      <c r="H100">
        <f t="shared" si="14"/>
        <v>0.4285504083730623</v>
      </c>
      <c r="I100">
        <f t="shared" si="14"/>
        <v>0.49117074346334055</v>
      </c>
      <c r="J100">
        <f t="shared" si="14"/>
        <v>0.4220528974863591</v>
      </c>
    </row>
    <row r="101" spans="3:10" x14ac:dyDescent="0.25">
      <c r="C101" s="12" t="s">
        <v>24</v>
      </c>
      <c r="D101">
        <f t="shared" ref="D101:J101" si="15">(D56-D$83)/D$85</f>
        <v>0.31402411334299085</v>
      </c>
      <c r="E101">
        <f t="shared" si="15"/>
        <v>0.48838670011499452</v>
      </c>
      <c r="F101">
        <f t="shared" si="15"/>
        <v>0.32769572419806736</v>
      </c>
      <c r="G101">
        <f t="shared" si="15"/>
        <v>0.41884613609956417</v>
      </c>
      <c r="H101">
        <f t="shared" si="15"/>
        <v>0.48596386168650713</v>
      </c>
      <c r="I101">
        <f t="shared" si="15"/>
        <v>0.47940368150636498</v>
      </c>
      <c r="J101">
        <f t="shared" si="15"/>
        <v>0.48632261732198301</v>
      </c>
    </row>
    <row r="102" spans="3:10" x14ac:dyDescent="0.25">
      <c r="C102" s="14" t="s">
        <v>25</v>
      </c>
      <c r="D102">
        <f t="shared" ref="D102:J102" si="16">(D57-D$83)/D$85</f>
        <v>0.34410926847143408</v>
      </c>
      <c r="E102">
        <f t="shared" si="16"/>
        <v>0.63664034065679664</v>
      </c>
      <c r="F102">
        <f t="shared" si="16"/>
        <v>0.15595974112731212</v>
      </c>
      <c r="G102">
        <f t="shared" si="16"/>
        <v>0.67870251133603743</v>
      </c>
      <c r="H102">
        <f t="shared" si="16"/>
        <v>0.36904911310891741</v>
      </c>
      <c r="I102">
        <f t="shared" si="16"/>
        <v>0.53119233149623846</v>
      </c>
      <c r="J102">
        <f t="shared" si="16"/>
        <v>0.34832939719774242</v>
      </c>
    </row>
    <row r="103" spans="3:10" x14ac:dyDescent="0.25">
      <c r="C103" s="12" t="s">
        <v>26</v>
      </c>
      <c r="D103">
        <f t="shared" ref="D103:J103" si="17">(D58-D$83)/D$85</f>
        <v>0.15618190242696389</v>
      </c>
      <c r="E103">
        <f t="shared" si="17"/>
        <v>0.3649517440823406</v>
      </c>
      <c r="F103">
        <f t="shared" si="17"/>
        <v>0.3074684108945927</v>
      </c>
      <c r="G103">
        <f t="shared" si="17"/>
        <v>0.57382581302773927</v>
      </c>
      <c r="H103">
        <f t="shared" si="17"/>
        <v>0.54814653954727066</v>
      </c>
      <c r="I103">
        <f t="shared" si="17"/>
        <v>0.63660936635502807</v>
      </c>
      <c r="J103">
        <f t="shared" si="17"/>
        <v>0.51246661841139318</v>
      </c>
    </row>
    <row r="104" spans="3:10" x14ac:dyDescent="0.25">
      <c r="C104" s="14" t="s">
        <v>27</v>
      </c>
      <c r="D104">
        <f t="shared" ref="D104:J104" si="18">(D59-D$83)/D$85</f>
        <v>0.34371549487511244</v>
      </c>
      <c r="E104">
        <f t="shared" si="18"/>
        <v>0.31059884398328597</v>
      </c>
      <c r="F104">
        <f t="shared" si="18"/>
        <v>0.21041220471606537</v>
      </c>
      <c r="G104">
        <f t="shared" si="18"/>
        <v>0.5887944160839601</v>
      </c>
      <c r="H104">
        <f t="shared" si="18"/>
        <v>0.4018152815292016</v>
      </c>
      <c r="I104">
        <f t="shared" si="18"/>
        <v>0.67709258528008431</v>
      </c>
      <c r="J104">
        <f t="shared" si="18"/>
        <v>0.34597724617853959</v>
      </c>
    </row>
    <row r="105" spans="3:10" x14ac:dyDescent="0.25">
      <c r="C105" s="12" t="s">
        <v>28</v>
      </c>
      <c r="D105">
        <f t="shared" ref="D105:J105" si="19">(D60-D$83)/D$85</f>
        <v>0.26868116379450063</v>
      </c>
      <c r="E105">
        <f t="shared" si="19"/>
        <v>0.37894652948298052</v>
      </c>
      <c r="F105">
        <f t="shared" si="19"/>
        <v>0.3736430075451192</v>
      </c>
      <c r="G105">
        <f t="shared" si="19"/>
        <v>0.49628354145780812</v>
      </c>
      <c r="H105">
        <f t="shared" si="19"/>
        <v>0.53479554282331321</v>
      </c>
      <c r="I105">
        <f t="shared" si="19"/>
        <v>0.58643303014291315</v>
      </c>
      <c r="J105">
        <f t="shared" si="19"/>
        <v>0.51105358116892663</v>
      </c>
    </row>
    <row r="106" spans="3:10" x14ac:dyDescent="0.25">
      <c r="C106" s="14" t="s">
        <v>29</v>
      </c>
      <c r="D106">
        <f t="shared" ref="D106:J106" si="20">(D61-D$83)/D$85</f>
        <v>1</v>
      </c>
      <c r="E106">
        <f t="shared" si="20"/>
        <v>0.91368206124687379</v>
      </c>
      <c r="F106">
        <f t="shared" si="20"/>
        <v>0.15447991652483692</v>
      </c>
      <c r="G106">
        <f t="shared" si="20"/>
        <v>2.5167890804912978E-4</v>
      </c>
      <c r="H106">
        <f t="shared" si="20"/>
        <v>5.9481330262132981E-2</v>
      </c>
      <c r="I106">
        <f t="shared" si="20"/>
        <v>0</v>
      </c>
      <c r="J106">
        <f t="shared" si="20"/>
        <v>0.15387125735399007</v>
      </c>
    </row>
    <row r="107" spans="3:10" x14ac:dyDescent="0.25">
      <c r="C107" s="12" t="s">
        <v>30</v>
      </c>
      <c r="D107">
        <f t="shared" ref="D107:J107" si="21">(D62-D$83)/D$85</f>
        <v>0.31401076420231733</v>
      </c>
      <c r="E107">
        <f t="shared" si="21"/>
        <v>0.49828646898755558</v>
      </c>
      <c r="F107">
        <f t="shared" si="21"/>
        <v>7.31605254979978E-2</v>
      </c>
      <c r="G107">
        <f t="shared" si="21"/>
        <v>0.69777767524192635</v>
      </c>
      <c r="H107">
        <f t="shared" si="21"/>
        <v>0.33367267812632001</v>
      </c>
      <c r="I107">
        <f t="shared" si="21"/>
        <v>0.62397674647525581</v>
      </c>
      <c r="J107">
        <f t="shared" si="21"/>
        <v>0.2868531857563143</v>
      </c>
    </row>
    <row r="108" spans="3:10" x14ac:dyDescent="0.25">
      <c r="C108" s="14" t="s">
        <v>31</v>
      </c>
      <c r="D108">
        <f t="shared" ref="D108:J108" si="22">(D63-D$83)/D$85</f>
        <v>0.25303217812100592</v>
      </c>
      <c r="E108">
        <f t="shared" si="22"/>
        <v>0.35069509015488198</v>
      </c>
      <c r="F108">
        <f t="shared" si="22"/>
        <v>0.1655584736050271</v>
      </c>
      <c r="G108">
        <f t="shared" si="22"/>
        <v>0.77754730514809201</v>
      </c>
      <c r="H108">
        <f t="shared" si="22"/>
        <v>0.41765605621335544</v>
      </c>
      <c r="I108">
        <f t="shared" si="22"/>
        <v>0.75501203295229924</v>
      </c>
      <c r="J108">
        <f t="shared" si="22"/>
        <v>0.3429516295088631</v>
      </c>
    </row>
    <row r="109" spans="3:10" x14ac:dyDescent="0.25">
      <c r="C109" s="12" t="s">
        <v>32</v>
      </c>
      <c r="D109">
        <f t="shared" ref="D109:J109" si="23">(D64-D$83)/D$85</f>
        <v>0.90228139108193195</v>
      </c>
      <c r="E109">
        <f t="shared" si="23"/>
        <v>0.95925667290343897</v>
      </c>
      <c r="F109">
        <f t="shared" si="23"/>
        <v>0</v>
      </c>
      <c r="G109">
        <f t="shared" si="23"/>
        <v>0.62134698551587886</v>
      </c>
      <c r="H109">
        <f t="shared" si="23"/>
        <v>1.3039882443684678E-2</v>
      </c>
      <c r="I109">
        <f t="shared" si="23"/>
        <v>0.30788970189732562</v>
      </c>
      <c r="J109">
        <f t="shared" si="23"/>
        <v>2.5575832846200665E-2</v>
      </c>
    </row>
    <row r="110" spans="3:10" x14ac:dyDescent="0.25">
      <c r="C110" s="14" t="s">
        <v>33</v>
      </c>
      <c r="D110">
        <f t="shared" ref="D110:J110" si="24">(D65-D$83)/D$85</f>
        <v>0.48283208860879162</v>
      </c>
      <c r="E110">
        <f t="shared" si="24"/>
        <v>0.83425619850393373</v>
      </c>
      <c r="F110">
        <f t="shared" si="24"/>
        <v>0.1362262534367501</v>
      </c>
      <c r="G110">
        <f t="shared" si="24"/>
        <v>0.74827075616927918</v>
      </c>
      <c r="H110">
        <f t="shared" si="24"/>
        <v>0.29195463950122102</v>
      </c>
      <c r="I110">
        <f t="shared" si="24"/>
        <v>0.45089344812253135</v>
      </c>
      <c r="J110">
        <f t="shared" si="24"/>
        <v>0.28660568421284066</v>
      </c>
    </row>
    <row r="111" spans="3:10" x14ac:dyDescent="0.25">
      <c r="C111" s="12" t="s">
        <v>34</v>
      </c>
      <c r="D111">
        <f t="shared" ref="D111:J111" si="25">(D66-D$83)/D$85</f>
        <v>7.6528864456018544E-2</v>
      </c>
      <c r="E111">
        <f t="shared" si="25"/>
        <v>0.38047409588942321</v>
      </c>
      <c r="F111">
        <f t="shared" si="25"/>
        <v>1</v>
      </c>
      <c r="G111">
        <f t="shared" si="25"/>
        <v>0.55181020054614316</v>
      </c>
      <c r="H111">
        <f t="shared" si="25"/>
        <v>1</v>
      </c>
      <c r="I111">
        <f t="shared" si="25"/>
        <v>0.61547730710787119</v>
      </c>
      <c r="J111">
        <f t="shared" si="25"/>
        <v>1</v>
      </c>
    </row>
    <row r="112" spans="3:10" x14ac:dyDescent="0.25">
      <c r="C112" s="14" t="s">
        <v>35</v>
      </c>
      <c r="D112">
        <f t="shared" ref="D112:J112" si="26">(D67-D$83)/D$85</f>
        <v>0.64588110495366224</v>
      </c>
      <c r="E112">
        <f t="shared" si="26"/>
        <v>0.78574600270977002</v>
      </c>
      <c r="F112">
        <f t="shared" si="26"/>
        <v>9.524249164006926E-2</v>
      </c>
      <c r="G112">
        <f t="shared" si="26"/>
        <v>0.71201640946480471</v>
      </c>
      <c r="H112">
        <f t="shared" si="26"/>
        <v>0.19069671466049926</v>
      </c>
      <c r="I112">
        <f t="shared" si="26"/>
        <v>0.46025957686097785</v>
      </c>
      <c r="J112">
        <f t="shared" si="26"/>
        <v>0.17616782650080087</v>
      </c>
    </row>
    <row r="113" spans="3:10" x14ac:dyDescent="0.25">
      <c r="C113" s="12" t="s">
        <v>36</v>
      </c>
      <c r="D113">
        <f t="shared" ref="D113:J113" si="27">(D68-D$83)/D$85</f>
        <v>0.46761346972671974</v>
      </c>
      <c r="E113">
        <f t="shared" si="27"/>
        <v>0.47392890079737071</v>
      </c>
      <c r="F113">
        <f t="shared" si="27"/>
        <v>4.0469090824890849E-2</v>
      </c>
      <c r="G113">
        <f t="shared" si="27"/>
        <v>0.85805938783300262</v>
      </c>
      <c r="H113">
        <f t="shared" si="27"/>
        <v>0.24182207206261278</v>
      </c>
      <c r="I113">
        <f t="shared" si="27"/>
        <v>0.72496755572099847</v>
      </c>
      <c r="J113">
        <f t="shared" si="27"/>
        <v>0.16302010596785743</v>
      </c>
    </row>
    <row r="114" spans="3:10" x14ac:dyDescent="0.25">
      <c r="C114" s="14" t="s">
        <v>37</v>
      </c>
      <c r="D114">
        <f t="shared" ref="D114:J114" si="28">(D69-D$83)/D$85</f>
        <v>8.1024476222715011E-2</v>
      </c>
      <c r="E114">
        <f t="shared" si="28"/>
        <v>0.16238125780387189</v>
      </c>
      <c r="F114">
        <f t="shared" si="28"/>
        <v>6.8892247158909903E-2</v>
      </c>
      <c r="G114">
        <f t="shared" si="28"/>
        <v>0.64494607779395052</v>
      </c>
      <c r="H114">
        <f t="shared" si="28"/>
        <v>0.44076932828130339</v>
      </c>
      <c r="I114">
        <f t="shared" si="28"/>
        <v>0.79576001077138747</v>
      </c>
      <c r="J114">
        <f t="shared" si="28"/>
        <v>0.35719232829872222</v>
      </c>
    </row>
    <row r="115" spans="3:10" x14ac:dyDescent="0.25">
      <c r="C115" s="12" t="s">
        <v>38</v>
      </c>
      <c r="D115">
        <f t="shared" ref="D115:J115" si="29">(D70-D$83)/D$85</f>
        <v>0.43416677542649201</v>
      </c>
      <c r="E115">
        <f t="shared" si="29"/>
        <v>0</v>
      </c>
      <c r="F115">
        <f t="shared" si="29"/>
        <v>0.74251272764053866</v>
      </c>
      <c r="G115">
        <f t="shared" si="29"/>
        <v>0.84406604054547207</v>
      </c>
      <c r="H115">
        <f t="shared" si="29"/>
        <v>0.67762080263652869</v>
      </c>
      <c r="I115">
        <f t="shared" si="29"/>
        <v>1</v>
      </c>
      <c r="J115">
        <f t="shared" si="29"/>
        <v>0.55767947488297498</v>
      </c>
    </row>
    <row r="116" spans="3:10" x14ac:dyDescent="0.25">
      <c r="C116" s="14" t="s">
        <v>39</v>
      </c>
      <c r="D116">
        <f t="shared" ref="D116:J116" si="30">(D71-D$83)/D$85</f>
        <v>0.36910366620979335</v>
      </c>
      <c r="E116">
        <f t="shared" si="30"/>
        <v>0.44025222872887504</v>
      </c>
      <c r="F116">
        <f t="shared" si="30"/>
        <v>0.10771299193829834</v>
      </c>
      <c r="G116">
        <f t="shared" si="30"/>
        <v>0.62338768199531025</v>
      </c>
      <c r="H116">
        <f t="shared" si="30"/>
        <v>0.3284182340720993</v>
      </c>
      <c r="I116">
        <f t="shared" si="30"/>
        <v>0.61844849025200754</v>
      </c>
      <c r="J116">
        <f t="shared" si="30"/>
        <v>0.28266052159487587</v>
      </c>
    </row>
    <row r="117" spans="3:10" x14ac:dyDescent="0.25">
      <c r="C117" s="12" t="s">
        <v>41</v>
      </c>
      <c r="D117">
        <f t="shared" ref="D117:J117" si="31">(D72-D$83)/D$85</f>
        <v>0.13591372854058262</v>
      </c>
      <c r="E117">
        <f t="shared" si="31"/>
        <v>0.37394066590509739</v>
      </c>
      <c r="F117">
        <f t="shared" si="31"/>
        <v>0.44399720336532544</v>
      </c>
      <c r="G117">
        <f t="shared" si="31"/>
        <v>0.66917436734214486</v>
      </c>
      <c r="H117">
        <f t="shared" si="31"/>
        <v>0.63937539996305448</v>
      </c>
      <c r="I117">
        <f t="shared" si="31"/>
        <v>0.68268759695097314</v>
      </c>
      <c r="J117">
        <f t="shared" si="31"/>
        <v>0.5980236353847691</v>
      </c>
    </row>
    <row r="118" spans="3:10" x14ac:dyDescent="0.25">
      <c r="C118" s="14" t="s">
        <v>42</v>
      </c>
      <c r="D118">
        <f t="shared" ref="D118:J118" si="32">(D73-D$83)/D$85</f>
        <v>0.90863331326991637</v>
      </c>
      <c r="E118">
        <f t="shared" si="32"/>
        <v>1</v>
      </c>
      <c r="F118">
        <f t="shared" si="32"/>
        <v>4.6083360647044677E-3</v>
      </c>
      <c r="G118">
        <f t="shared" si="32"/>
        <v>0.84995742431805499</v>
      </c>
      <c r="H118">
        <f t="shared" si="32"/>
        <v>1.2807803937507545E-2</v>
      </c>
      <c r="I118">
        <f t="shared" si="32"/>
        <v>0.40692536854098615</v>
      </c>
      <c r="J118">
        <f t="shared" si="32"/>
        <v>0</v>
      </c>
    </row>
    <row r="119" spans="3:10" x14ac:dyDescent="0.25">
      <c r="C119" s="12" t="s">
        <v>43</v>
      </c>
      <c r="D119">
        <f t="shared" ref="D119:J119" si="33">(D74-D$83)/D$85</f>
        <v>0.54932973807960717</v>
      </c>
      <c r="E119">
        <f t="shared" si="33"/>
        <v>0.73928141758162536</v>
      </c>
      <c r="F119">
        <f t="shared" si="33"/>
        <v>0.16154275853928482</v>
      </c>
      <c r="G119">
        <f t="shared" si="33"/>
        <v>0.20054404590623287</v>
      </c>
      <c r="H119">
        <f t="shared" si="33"/>
        <v>0.27580656622519006</v>
      </c>
      <c r="I119">
        <f t="shared" si="33"/>
        <v>0.21203906211990414</v>
      </c>
      <c r="J119">
        <f t="shared" si="33"/>
        <v>0.33046225103598503</v>
      </c>
    </row>
    <row r="120" spans="3:10" x14ac:dyDescent="0.25">
      <c r="C120" s="14" t="s">
        <v>44</v>
      </c>
      <c r="D120">
        <f t="shared" ref="D120:J120" si="34">(D75-D$83)/D$85</f>
        <v>0.85461799759410317</v>
      </c>
      <c r="E120">
        <f t="shared" si="34"/>
        <v>0.74389447836928024</v>
      </c>
      <c r="F120">
        <f t="shared" si="34"/>
        <v>0.27937232229298342</v>
      </c>
      <c r="G120">
        <f t="shared" si="34"/>
        <v>0.67099903942550088</v>
      </c>
      <c r="H120">
        <f t="shared" si="34"/>
        <v>0.20263014223544226</v>
      </c>
      <c r="I120">
        <f t="shared" si="34"/>
        <v>0.46308593462718217</v>
      </c>
      <c r="J120">
        <f t="shared" si="34"/>
        <v>0.18817799053370987</v>
      </c>
    </row>
    <row r="121" spans="3:10" x14ac:dyDescent="0.25">
      <c r="C121" s="12" t="s">
        <v>45</v>
      </c>
      <c r="D121">
        <f t="shared" ref="D121:J121" si="35">(D76-D$83)/D$85</f>
        <v>1.7184529694853713E-2</v>
      </c>
      <c r="E121">
        <f t="shared" si="35"/>
        <v>0.53085304621410223</v>
      </c>
      <c r="F121">
        <f t="shared" si="35"/>
        <v>1.5252334587092159E-2</v>
      </c>
      <c r="G121">
        <f t="shared" si="35"/>
        <v>0.505524352031678</v>
      </c>
      <c r="H121">
        <f t="shared" si="35"/>
        <v>0.43871970233822721</v>
      </c>
      <c r="I121">
        <f t="shared" si="35"/>
        <v>0.50084349468162748</v>
      </c>
      <c r="J121">
        <f t="shared" si="35"/>
        <v>0.43042977251473646</v>
      </c>
    </row>
    <row r="122" spans="3:10" x14ac:dyDescent="0.25">
      <c r="C122" s="14" t="s">
        <v>46</v>
      </c>
      <c r="D122">
        <f t="shared" ref="D122:J122" si="36">(D77-D$83)/D$85</f>
        <v>7.5786267153077944E-2</v>
      </c>
      <c r="E122">
        <f t="shared" si="36"/>
        <v>0.27272278749558815</v>
      </c>
      <c r="F122">
        <f t="shared" si="36"/>
        <v>0.19075139708980934</v>
      </c>
      <c r="G122">
        <f t="shared" si="36"/>
        <v>0.54329506415714834</v>
      </c>
      <c r="H122">
        <f t="shared" si="36"/>
        <v>0.5161472558892638</v>
      </c>
      <c r="I122">
        <f t="shared" si="36"/>
        <v>0.67513065398841166</v>
      </c>
      <c r="J122">
        <f t="shared" si="36"/>
        <v>0.46847153993095325</v>
      </c>
    </row>
    <row r="123" spans="3:10" x14ac:dyDescent="0.25">
      <c r="C123" s="12" t="s">
        <v>47</v>
      </c>
      <c r="D123">
        <f t="shared" ref="D123:J123" si="37">(D78-D$83)/D$85</f>
        <v>0.95661306864326157</v>
      </c>
      <c r="E123">
        <f t="shared" si="37"/>
        <v>0.80552656447468807</v>
      </c>
      <c r="F123">
        <f t="shared" si="37"/>
        <v>2.0941886891196658E-2</v>
      </c>
      <c r="G123">
        <f t="shared" si="37"/>
        <v>0.32818090679910572</v>
      </c>
      <c r="H123">
        <f t="shared" si="37"/>
        <v>0</v>
      </c>
      <c r="I123">
        <f t="shared" si="37"/>
        <v>0.24139675025429297</v>
      </c>
      <c r="J123">
        <f t="shared" si="37"/>
        <v>2.8667702233912365E-2</v>
      </c>
    </row>
    <row r="124" spans="3:10" x14ac:dyDescent="0.25">
      <c r="C124" s="14" t="s">
        <v>48</v>
      </c>
      <c r="D124">
        <f t="shared" ref="D124:J124" si="38">(D79-D$83)/D$85</f>
        <v>0.31419677977560467</v>
      </c>
      <c r="E124">
        <f t="shared" si="38"/>
        <v>0.32792960670383431</v>
      </c>
      <c r="F124">
        <f t="shared" si="38"/>
        <v>0.427872850559262</v>
      </c>
      <c r="G124">
        <f t="shared" si="38"/>
        <v>0.52877528848694832</v>
      </c>
      <c r="H124">
        <f t="shared" si="38"/>
        <v>0.54582213868733198</v>
      </c>
      <c r="I124">
        <f t="shared" si="38"/>
        <v>0.63438041327279338</v>
      </c>
      <c r="J124">
        <f t="shared" si="38"/>
        <v>0.51055652724465839</v>
      </c>
    </row>
    <row r="125" spans="3:10" x14ac:dyDescent="0.25">
      <c r="C125" s="12" t="s">
        <v>49</v>
      </c>
      <c r="D125">
        <f t="shared" ref="D125:J125" si="39">(D80-D$83)/D$85</f>
        <v>0.32974298055585383</v>
      </c>
      <c r="E125">
        <f t="shared" si="39"/>
        <v>0.21144555221999994</v>
      </c>
      <c r="F125">
        <f t="shared" si="39"/>
        <v>0.62455536682828372</v>
      </c>
      <c r="G125">
        <f t="shared" si="39"/>
        <v>0.71105164031728307</v>
      </c>
      <c r="H125">
        <f t="shared" si="39"/>
        <v>0.65618776615809993</v>
      </c>
      <c r="I125">
        <f t="shared" si="39"/>
        <v>0.80216740229661365</v>
      </c>
      <c r="J125">
        <f t="shared" si="39"/>
        <v>0.58540571828204124</v>
      </c>
    </row>
    <row r="126" spans="3:10" x14ac:dyDescent="0.25">
      <c r="C126" s="14" t="s">
        <v>51</v>
      </c>
      <c r="D126">
        <f t="shared" ref="D126:J126" si="40">(D81-D$83)/D$85</f>
        <v>0.48896317778151493</v>
      </c>
      <c r="E126">
        <f t="shared" si="40"/>
        <v>0.65492369758359881</v>
      </c>
      <c r="F126">
        <f t="shared" si="40"/>
        <v>0.78670415557432427</v>
      </c>
      <c r="G126">
        <f t="shared" si="40"/>
        <v>0.5089199199661073</v>
      </c>
      <c r="H126">
        <f t="shared" si="40"/>
        <v>0.67827323406639606</v>
      </c>
      <c r="I126">
        <f t="shared" si="40"/>
        <v>0.42869782750618624</v>
      </c>
      <c r="J126">
        <f t="shared" si="40"/>
        <v>0.70448518650752256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F87F-8B2A-4EEE-A3A5-AF5D7D4D8979}">
  <sheetPr codeName="Sheet2"/>
  <dimension ref="A1:K126"/>
  <sheetViews>
    <sheetView tabSelected="1" topLeftCell="A69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-0.39069871631647368</v>
      </c>
      <c r="E2">
        <v>3.7859999999999999E-3</v>
      </c>
      <c r="F2">
        <v>-0.30936406897631247</v>
      </c>
      <c r="G2">
        <v>1.5772999999999999E-2</v>
      </c>
      <c r="H2">
        <v>8.1334647340161215E-2</v>
      </c>
      <c r="I2">
        <v>1.1986999999999999E-2</v>
      </c>
      <c r="J2">
        <v>6.9347647340161217E-2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-0.61143245520687217</v>
      </c>
      <c r="E3">
        <v>4.3747000000000001E-2</v>
      </c>
      <c r="F3">
        <v>-0.9405201868057198</v>
      </c>
      <c r="G3">
        <v>3.9851999999999999E-2</v>
      </c>
      <c r="H3">
        <v>-0.32908773159884763</v>
      </c>
      <c r="I3">
        <v>-3.8950000000000026E-3</v>
      </c>
      <c r="J3">
        <v>-0.32519273159884765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0.31257897794348188</v>
      </c>
      <c r="E4">
        <v>9.6906000000000006E-2</v>
      </c>
      <c r="F4">
        <v>0.29987215016507368</v>
      </c>
      <c r="G4">
        <v>1.2330000000000001E-2</v>
      </c>
      <c r="H4">
        <v>-1.2706827778408203E-2</v>
      </c>
      <c r="I4">
        <v>-8.4576000000000012E-2</v>
      </c>
      <c r="J4">
        <v>7.1869172221591809E-2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-0.1732244028172025</v>
      </c>
      <c r="E5">
        <v>5.4903E-2</v>
      </c>
      <c r="F5">
        <v>4.7710529144485661E-2</v>
      </c>
      <c r="G5">
        <v>-0.12700900000000001</v>
      </c>
      <c r="H5">
        <v>0.22093493196168817</v>
      </c>
      <c r="I5">
        <v>-0.18191200000000002</v>
      </c>
      <c r="J5">
        <v>0.40284693196168819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-0.31163591196438351</v>
      </c>
      <c r="E6">
        <v>4.6280000000000002E-2</v>
      </c>
      <c r="F6">
        <v>-0.24751578494662413</v>
      </c>
      <c r="G6">
        <v>-5.0600000000000005E-4</v>
      </c>
      <c r="H6">
        <v>6.4120127017759376E-2</v>
      </c>
      <c r="I6">
        <v>-4.6786000000000001E-2</v>
      </c>
      <c r="J6">
        <v>0.11090612701775937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-0.80660925230336378</v>
      </c>
      <c r="E7">
        <v>0.175566</v>
      </c>
      <c r="F7">
        <v>-1.0753560251729413</v>
      </c>
      <c r="G7">
        <v>3.6249999999999998E-2</v>
      </c>
      <c r="H7">
        <v>-0.26874677286957749</v>
      </c>
      <c r="I7">
        <v>-0.139316</v>
      </c>
      <c r="J7">
        <v>-0.12943077286957749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-0.91751063479620576</v>
      </c>
      <c r="E8">
        <v>0.13925399999999999</v>
      </c>
      <c r="F8">
        <v>-0.61192971446550937</v>
      </c>
      <c r="G8">
        <v>0.217226</v>
      </c>
      <c r="H8">
        <v>0.30558092033069639</v>
      </c>
      <c r="I8">
        <v>7.7972000000000014E-2</v>
      </c>
      <c r="J8">
        <v>0.22760892033069638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-0.36699661140289808</v>
      </c>
      <c r="E9">
        <v>0.19956699999999999</v>
      </c>
      <c r="F9">
        <v>-0.84311305414409976</v>
      </c>
      <c r="G9">
        <v>-0.25957200000000002</v>
      </c>
      <c r="H9">
        <v>-0.47611644274120168</v>
      </c>
      <c r="I9">
        <v>-0.45913900000000002</v>
      </c>
      <c r="J9">
        <v>-1.6977442741201665E-2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-0.1110514383364741</v>
      </c>
      <c r="E10">
        <v>3.1259000000000002E-2</v>
      </c>
      <c r="F10">
        <v>-0.35543609560402717</v>
      </c>
      <c r="G10">
        <v>7.2361999999999996E-2</v>
      </c>
      <c r="H10">
        <v>-0.24438465726755307</v>
      </c>
      <c r="I10">
        <v>4.1102999999999994E-2</v>
      </c>
      <c r="J10">
        <v>-0.28548765726755304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1.190529625141391</v>
      </c>
      <c r="E11">
        <v>0.175673</v>
      </c>
      <c r="F11">
        <v>1.5470473108710718</v>
      </c>
      <c r="G11">
        <v>0.165189</v>
      </c>
      <c r="H11">
        <v>0.35651768572968079</v>
      </c>
      <c r="I11">
        <v>-1.0483999999999993E-2</v>
      </c>
      <c r="J11">
        <v>0.36700168572968078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0.74854448228217196</v>
      </c>
      <c r="E12">
        <v>-1.5774E-2</v>
      </c>
      <c r="F12">
        <v>0.52605826914435982</v>
      </c>
      <c r="G12">
        <v>0.135711</v>
      </c>
      <c r="H12">
        <v>-0.22248621313781214</v>
      </c>
      <c r="I12">
        <v>0.15148500000000001</v>
      </c>
      <c r="J12">
        <v>-0.37397121313781212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-0.45380717467276821</v>
      </c>
      <c r="E13">
        <v>-2.6273999999999999E-2</v>
      </c>
      <c r="F13">
        <v>-0.65450367092979511</v>
      </c>
      <c r="G13">
        <v>-0.16467399999999999</v>
      </c>
      <c r="H13">
        <v>-0.2006964962570269</v>
      </c>
      <c r="I13">
        <v>-0.1384</v>
      </c>
      <c r="J13">
        <v>-6.2296496257026907E-2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0.14790772369748029</v>
      </c>
      <c r="E14">
        <v>8.8932999999999998E-2</v>
      </c>
      <c r="F14">
        <v>0.42158696824138098</v>
      </c>
      <c r="G14">
        <v>-5.9866999999999997E-2</v>
      </c>
      <c r="H14">
        <v>0.27367924454390069</v>
      </c>
      <c r="I14">
        <v>-0.14879999999999999</v>
      </c>
      <c r="J14">
        <v>0.42247924454390068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0.64695833058197794</v>
      </c>
      <c r="E15">
        <v>0.16705999999999999</v>
      </c>
      <c r="F15">
        <v>0.35959828757147527</v>
      </c>
      <c r="G15">
        <v>6.4032000000000006E-2</v>
      </c>
      <c r="H15">
        <v>-0.28736004301050266</v>
      </c>
      <c r="I15">
        <v>-0.10302799999999998</v>
      </c>
      <c r="J15">
        <v>-0.18433204301050268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0.15668869468675339</v>
      </c>
      <c r="E16">
        <v>2.3885E-2</v>
      </c>
      <c r="F16">
        <v>-0.35563545398818103</v>
      </c>
      <c r="G16">
        <v>1.4027E-2</v>
      </c>
      <c r="H16">
        <v>-0.51232414867493437</v>
      </c>
      <c r="I16">
        <v>-9.8580000000000004E-3</v>
      </c>
      <c r="J16">
        <v>-0.50246614867493433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0.1193505318219935</v>
      </c>
      <c r="E17">
        <v>-4.7580000000000001E-3</v>
      </c>
      <c r="F17">
        <v>-5.2658708886958859E-2</v>
      </c>
      <c r="G17">
        <v>2.1163999999999999E-2</v>
      </c>
      <c r="H17">
        <v>-0.17200924070895235</v>
      </c>
      <c r="I17">
        <v>2.5922000000000001E-2</v>
      </c>
      <c r="J17">
        <v>-0.19793124070895235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-0.31723220337727009</v>
      </c>
      <c r="E18">
        <v>3.1260000000000003E-2</v>
      </c>
      <c r="F18">
        <v>-0.52257099348728708</v>
      </c>
      <c r="G18">
        <v>-2.2945E-2</v>
      </c>
      <c r="H18">
        <v>-0.20533879011001699</v>
      </c>
      <c r="I18">
        <v>-5.4205000000000003E-2</v>
      </c>
      <c r="J18">
        <v>-0.15113379011001699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1.7130584923561891</v>
      </c>
      <c r="E19">
        <v>0.313056</v>
      </c>
      <c r="F19">
        <v>0.78629675318135095</v>
      </c>
      <c r="G19">
        <v>-0.25945200000000002</v>
      </c>
      <c r="H19">
        <v>-0.92676173917483817</v>
      </c>
      <c r="I19">
        <v>-0.57250800000000002</v>
      </c>
      <c r="J19">
        <v>-0.35425373917483816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1.0167117822131193</v>
      </c>
      <c r="E20">
        <v>9.4149999999999998E-2</v>
      </c>
      <c r="F20">
        <v>-3.2302166444050887E-2</v>
      </c>
      <c r="G20">
        <v>7.3126999999999998E-2</v>
      </c>
      <c r="H20">
        <v>-1.0490139486571701</v>
      </c>
      <c r="I20">
        <v>-2.1023E-2</v>
      </c>
      <c r="J20">
        <v>-1.0279909486571701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-0.32450530665361188</v>
      </c>
      <c r="E21">
        <v>1.6372000000000001E-2</v>
      </c>
      <c r="F21">
        <v>-0.4811608251196004</v>
      </c>
      <c r="G21">
        <v>0.111161</v>
      </c>
      <c r="H21">
        <v>-0.15665551846598852</v>
      </c>
      <c r="I21">
        <v>9.4788999999999998E-2</v>
      </c>
      <c r="J21">
        <v>-0.25144451846598853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0.84288038394535791</v>
      </c>
      <c r="E22">
        <v>0.33707300000000001</v>
      </c>
      <c r="F22">
        <v>0.30892027226572888</v>
      </c>
      <c r="G22">
        <v>3.6685000000000002E-2</v>
      </c>
      <c r="H22">
        <v>-0.53396011167962909</v>
      </c>
      <c r="I22">
        <v>-0.30038799999999999</v>
      </c>
      <c r="J22">
        <v>-0.2335721116796291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1.1355680175870717</v>
      </c>
      <c r="E23">
        <v>0.2712</v>
      </c>
      <c r="F23">
        <v>1.2907766640694802</v>
      </c>
      <c r="G23">
        <v>9.7201999999999997E-2</v>
      </c>
      <c r="H23">
        <v>0.15520864648240851</v>
      </c>
      <c r="I23">
        <v>-0.17399799999999999</v>
      </c>
      <c r="J23">
        <v>0.32920664648240849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0.1364472470027257</v>
      </c>
      <c r="E24">
        <v>3.2065000000000003E-2</v>
      </c>
      <c r="F24">
        <v>-0.13352649532535496</v>
      </c>
      <c r="G24">
        <v>3.5300000000000002E-3</v>
      </c>
      <c r="H24">
        <v>-0.26997374232808069</v>
      </c>
      <c r="I24">
        <v>-2.8535000000000005E-2</v>
      </c>
      <c r="J24">
        <v>-0.24143874232808069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1.2942154598466695</v>
      </c>
      <c r="E25">
        <v>0.24563599999999999</v>
      </c>
      <c r="F25">
        <v>0.75065027634810422</v>
      </c>
      <c r="G25">
        <v>7.9916000000000001E-2</v>
      </c>
      <c r="H25">
        <v>-0.54356518349856531</v>
      </c>
      <c r="I25">
        <v>-0.16571999999999998</v>
      </c>
      <c r="J25">
        <v>-0.37784518349856533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9.0711158683076498E-2</v>
      </c>
      <c r="E26">
        <v>8.1313999999999997E-2</v>
      </c>
      <c r="F26">
        <v>-0.21151283814922259</v>
      </c>
      <c r="G26">
        <v>0.14954899999999999</v>
      </c>
      <c r="H26">
        <v>-0.30222399683229906</v>
      </c>
      <c r="I26">
        <v>6.823499999999999E-2</v>
      </c>
      <c r="J26">
        <v>-0.37045899683229905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1.1789774034082137</v>
      </c>
      <c r="E27">
        <v>-8.2865999999999995E-2</v>
      </c>
      <c r="F27">
        <v>1.0459275707772617</v>
      </c>
      <c r="G27">
        <v>4.7937E-2</v>
      </c>
      <c r="H27">
        <v>-0.13304983263095194</v>
      </c>
      <c r="I27">
        <v>0.130803</v>
      </c>
      <c r="J27">
        <v>-0.26385283263095194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0.46399713223666811</v>
      </c>
      <c r="E28">
        <v>-0.168438</v>
      </c>
      <c r="F28">
        <v>1.2781206997641954</v>
      </c>
      <c r="G28">
        <v>0.142877</v>
      </c>
      <c r="H28">
        <v>0.81412356752752735</v>
      </c>
      <c r="I28">
        <v>0.31131500000000001</v>
      </c>
      <c r="J28">
        <v>0.50280856752752734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-0.42343299075584151</v>
      </c>
      <c r="E29">
        <v>6.3566999999999999E-2</v>
      </c>
      <c r="F29">
        <v>-0.35039480551141888</v>
      </c>
      <c r="G29">
        <v>3.7657999999999997E-2</v>
      </c>
      <c r="H29">
        <v>7.3038185244422626E-2</v>
      </c>
      <c r="I29">
        <v>-2.5909000000000001E-2</v>
      </c>
      <c r="J29">
        <v>9.8947185244422628E-2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2</v>
      </c>
      <c r="G30">
        <v>0.70438599999999996</v>
      </c>
      <c r="H30">
        <v>0</v>
      </c>
      <c r="I30">
        <v>-0.10781600000000002</v>
      </c>
      <c r="J30">
        <v>0.10781600000000002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-0.22398402935121309</v>
      </c>
      <c r="E31">
        <v>2.8622000000000002E-2</v>
      </c>
      <c r="F31">
        <v>-0.14462332718540097</v>
      </c>
      <c r="G31">
        <v>5.9489E-2</v>
      </c>
      <c r="H31">
        <v>7.9360702165812119E-2</v>
      </c>
      <c r="I31">
        <v>3.0866999999999999E-2</v>
      </c>
      <c r="J31">
        <v>4.8493702165812121E-2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1.4777397627267828</v>
      </c>
      <c r="E32">
        <v>0.35854399999999997</v>
      </c>
      <c r="F32">
        <v>0.68479343909586454</v>
      </c>
      <c r="G32">
        <v>0.14568600000000001</v>
      </c>
      <c r="H32">
        <v>-0.79294632363091822</v>
      </c>
      <c r="I32">
        <v>-0.21285799999999996</v>
      </c>
      <c r="J32">
        <v>-0.58008832363091822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0.67440820484478847</v>
      </c>
      <c r="E33">
        <v>0.22115000000000001</v>
      </c>
      <c r="F33">
        <v>0.58750617313737408</v>
      </c>
      <c r="G33">
        <v>-0.16395299999999999</v>
      </c>
      <c r="H33">
        <v>-8.6902031707414396E-2</v>
      </c>
      <c r="I33">
        <v>-0.38510299999999997</v>
      </c>
      <c r="J33">
        <v>0.29820096829258558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1.7531642528382434</v>
      </c>
      <c r="E34">
        <v>0.223581</v>
      </c>
      <c r="F34">
        <v>0.70692933088063692</v>
      </c>
      <c r="G34">
        <v>6.0359000000000003E-2</v>
      </c>
      <c r="H34">
        <v>-1.0462349219576064</v>
      </c>
      <c r="I34">
        <v>-0.16322200000000001</v>
      </c>
      <c r="J34">
        <v>-0.88301292195760639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-0.73114202057525179</v>
      </c>
      <c r="E35">
        <v>0.11131199999999999</v>
      </c>
      <c r="F35">
        <v>-0.67560025910894217</v>
      </c>
      <c r="G35">
        <v>-1.8539E-2</v>
      </c>
      <c r="H35">
        <v>5.5541761466309625E-2</v>
      </c>
      <c r="I35">
        <v>-0.12985099999999999</v>
      </c>
      <c r="J35">
        <v>0.18539276146630962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0.52832089247944169</v>
      </c>
      <c r="E36">
        <v>-2.4718E-2</v>
      </c>
      <c r="F36">
        <v>9.8779271835730306E-2</v>
      </c>
      <c r="G36">
        <v>-5.2999999999999998E-4</v>
      </c>
      <c r="H36">
        <v>-0.42954162064371137</v>
      </c>
      <c r="I36">
        <v>2.4188000000000001E-2</v>
      </c>
      <c r="J36">
        <v>-0.45372962064371136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1.6101939356626118</v>
      </c>
      <c r="E37">
        <v>0.25606000000000001</v>
      </c>
      <c r="F37">
        <v>0.50457779173556561</v>
      </c>
      <c r="G37">
        <v>-0.10309599999999999</v>
      </c>
      <c r="H37">
        <v>-1.1056161439270462</v>
      </c>
      <c r="I37">
        <v>-0.35915600000000003</v>
      </c>
      <c r="J37">
        <v>-0.74646014392704618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0.19525977235893741</v>
      </c>
      <c r="E38">
        <v>4.3750000000000004E-3</v>
      </c>
      <c r="F38">
        <v>0.75382275134247123</v>
      </c>
      <c r="G38">
        <v>-7.4530000000000004E-3</v>
      </c>
      <c r="H38">
        <v>0.5585629789835338</v>
      </c>
      <c r="I38">
        <v>-1.1828000000000002E-2</v>
      </c>
      <c r="J38">
        <v>0.57039097898353375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-0.1552174178258984</v>
      </c>
      <c r="E39">
        <v>-5.7009999999999998E-2</v>
      </c>
      <c r="F39">
        <v>0.23343157415143514</v>
      </c>
      <c r="G39">
        <v>7.9455999999999999E-2</v>
      </c>
      <c r="H39">
        <v>0.38864899197733355</v>
      </c>
      <c r="I39">
        <v>0.136466</v>
      </c>
      <c r="J39">
        <v>0.25218299197733351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2</v>
      </c>
      <c r="G40">
        <v>0.99823200000000001</v>
      </c>
      <c r="H40">
        <v>0</v>
      </c>
      <c r="I40">
        <v>-8.2908999999999899E-2</v>
      </c>
      <c r="J40">
        <v>8.2908999999999899E-2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0.66224259609558755</v>
      </c>
      <c r="E41">
        <v>0.17669499999999999</v>
      </c>
      <c r="F41">
        <v>0.89648836094698348</v>
      </c>
      <c r="G41">
        <v>-1.6920000000000001E-2</v>
      </c>
      <c r="H41">
        <v>0.23424576485139592</v>
      </c>
      <c r="I41">
        <v>-0.19361499999999998</v>
      </c>
      <c r="J41">
        <v>0.4278607648513959</v>
      </c>
      <c r="K41" t="b">
        <v>1</v>
      </c>
    </row>
    <row r="44" spans="1:11" x14ac:dyDescent="0.25">
      <c r="A44" s="12" t="s">
        <v>11</v>
      </c>
      <c r="B44" s="13" t="s">
        <v>12</v>
      </c>
      <c r="C44" s="2">
        <v>3828</v>
      </c>
      <c r="D44" s="2">
        <v>-0.39069871631647368</v>
      </c>
      <c r="E44" s="2">
        <v>3.7859999999999999E-3</v>
      </c>
      <c r="F44" s="2">
        <v>-0.30936406897631247</v>
      </c>
      <c r="G44" s="2">
        <v>1.5772999999999999E-2</v>
      </c>
      <c r="H44" s="2">
        <v>8.1334647340161215E-2</v>
      </c>
      <c r="I44" s="2">
        <v>1.1986999999999999E-2</v>
      </c>
      <c r="J44" s="2">
        <v>6.9347647340161217E-2</v>
      </c>
      <c r="K44" s="3" t="b">
        <v>1</v>
      </c>
    </row>
    <row r="45" spans="1:11" x14ac:dyDescent="0.25">
      <c r="A45" s="14" t="s">
        <v>13</v>
      </c>
      <c r="B45" s="15" t="s">
        <v>12</v>
      </c>
      <c r="C45" s="4">
        <v>3828</v>
      </c>
      <c r="D45" s="4">
        <v>-0.61143245520687217</v>
      </c>
      <c r="E45" s="4">
        <v>4.3747000000000001E-2</v>
      </c>
      <c r="F45" s="4">
        <v>-0.9405201868057198</v>
      </c>
      <c r="G45" s="4">
        <v>3.9851999999999999E-2</v>
      </c>
      <c r="H45" s="4">
        <v>-0.32908773159884763</v>
      </c>
      <c r="I45" s="4">
        <v>-3.8950000000000026E-3</v>
      </c>
      <c r="J45" s="4">
        <v>-0.32519273159884765</v>
      </c>
      <c r="K45" s="5" t="b">
        <v>1</v>
      </c>
    </row>
    <row r="46" spans="1:11" x14ac:dyDescent="0.25">
      <c r="A46" s="12" t="s">
        <v>14</v>
      </c>
      <c r="B46" s="13" t="s">
        <v>12</v>
      </c>
      <c r="C46" s="2">
        <v>3828</v>
      </c>
      <c r="D46" s="2">
        <v>0.31257897794348188</v>
      </c>
      <c r="E46" s="2">
        <v>9.6906000000000006E-2</v>
      </c>
      <c r="F46" s="2">
        <v>0.29987215016507368</v>
      </c>
      <c r="G46" s="2">
        <v>1.2330000000000001E-2</v>
      </c>
      <c r="H46" s="2">
        <v>-1.2706827778408203E-2</v>
      </c>
      <c r="I46" s="2">
        <v>-8.4576000000000012E-2</v>
      </c>
      <c r="J46" s="2">
        <v>7.1869172221591809E-2</v>
      </c>
      <c r="K46" s="3" t="b">
        <v>1</v>
      </c>
    </row>
    <row r="47" spans="1:11" x14ac:dyDescent="0.25">
      <c r="A47" s="14" t="s">
        <v>15</v>
      </c>
      <c r="B47" s="15" t="s">
        <v>12</v>
      </c>
      <c r="C47" s="4">
        <v>3828</v>
      </c>
      <c r="D47" s="4">
        <v>-0.1732244028172025</v>
      </c>
      <c r="E47" s="4">
        <v>5.4903E-2</v>
      </c>
      <c r="F47" s="4">
        <v>4.7710529144485661E-2</v>
      </c>
      <c r="G47" s="4">
        <v>-0.12700900000000001</v>
      </c>
      <c r="H47" s="4">
        <v>0.22093493196168817</v>
      </c>
      <c r="I47" s="4">
        <v>-0.18191200000000002</v>
      </c>
      <c r="J47" s="4">
        <v>0.40284693196168819</v>
      </c>
      <c r="K47" s="5" t="b">
        <v>1</v>
      </c>
    </row>
    <row r="48" spans="1:11" x14ac:dyDescent="0.25">
      <c r="A48" s="12" t="s">
        <v>16</v>
      </c>
      <c r="B48" s="13" t="s">
        <v>12</v>
      </c>
      <c r="C48" s="2">
        <v>3828</v>
      </c>
      <c r="D48" s="2">
        <v>-0.31163591196438351</v>
      </c>
      <c r="E48" s="2">
        <v>4.6280000000000002E-2</v>
      </c>
      <c r="F48" s="2">
        <v>-0.24751578494662413</v>
      </c>
      <c r="G48" s="2">
        <v>-5.0600000000000005E-4</v>
      </c>
      <c r="H48" s="2">
        <v>6.4120127017759376E-2</v>
      </c>
      <c r="I48" s="2">
        <v>-4.6786000000000001E-2</v>
      </c>
      <c r="J48" s="2">
        <v>0.11090612701775937</v>
      </c>
      <c r="K48" s="3" t="b">
        <v>1</v>
      </c>
    </row>
    <row r="49" spans="1:11" x14ac:dyDescent="0.25">
      <c r="A49" s="14" t="s">
        <v>17</v>
      </c>
      <c r="B49" s="15" t="s">
        <v>12</v>
      </c>
      <c r="C49" s="4">
        <v>3828</v>
      </c>
      <c r="D49" s="4">
        <v>-0.80660925230336378</v>
      </c>
      <c r="E49" s="4">
        <v>0.175566</v>
      </c>
      <c r="F49" s="4">
        <v>-1.0753560251729413</v>
      </c>
      <c r="G49" s="4">
        <v>3.6249999999999998E-2</v>
      </c>
      <c r="H49" s="4">
        <v>-0.26874677286957749</v>
      </c>
      <c r="I49" s="4">
        <v>-0.139316</v>
      </c>
      <c r="J49" s="4">
        <v>-0.12943077286957749</v>
      </c>
      <c r="K49" s="5" t="b">
        <v>1</v>
      </c>
    </row>
    <row r="50" spans="1:11" x14ac:dyDescent="0.25">
      <c r="A50" s="12" t="s">
        <v>18</v>
      </c>
      <c r="B50" s="13" t="s">
        <v>12</v>
      </c>
      <c r="C50" s="2">
        <v>3828</v>
      </c>
      <c r="D50" s="2">
        <v>-0.91751063479620576</v>
      </c>
      <c r="E50" s="2">
        <v>0.13925399999999999</v>
      </c>
      <c r="F50" s="2">
        <v>-0.61192971446550937</v>
      </c>
      <c r="G50" s="2">
        <v>0.217226</v>
      </c>
      <c r="H50" s="2">
        <v>0.30558092033069639</v>
      </c>
      <c r="I50" s="2">
        <v>7.7972000000000014E-2</v>
      </c>
      <c r="J50" s="2">
        <v>0.22760892033069638</v>
      </c>
      <c r="K50" s="3" t="b">
        <v>1</v>
      </c>
    </row>
    <row r="51" spans="1:11" x14ac:dyDescent="0.25">
      <c r="A51" s="14" t="s">
        <v>19</v>
      </c>
      <c r="B51" s="15" t="s">
        <v>12</v>
      </c>
      <c r="C51" s="4">
        <v>3828</v>
      </c>
      <c r="D51" s="4">
        <v>-0.36699661140289808</v>
      </c>
      <c r="E51" s="4">
        <v>0.19956699999999999</v>
      </c>
      <c r="F51" s="4">
        <v>-0.84311305414409976</v>
      </c>
      <c r="G51" s="4">
        <v>-0.25957200000000002</v>
      </c>
      <c r="H51" s="4">
        <v>-0.47611644274120168</v>
      </c>
      <c r="I51" s="4">
        <v>-0.45913900000000002</v>
      </c>
      <c r="J51" s="4">
        <v>-1.6977442741201665E-2</v>
      </c>
      <c r="K51" s="5" t="b">
        <v>1</v>
      </c>
    </row>
    <row r="52" spans="1:11" x14ac:dyDescent="0.25">
      <c r="A52" s="12" t="s">
        <v>20</v>
      </c>
      <c r="B52" s="13" t="s">
        <v>12</v>
      </c>
      <c r="C52" s="2">
        <v>3828</v>
      </c>
      <c r="D52" s="2">
        <v>-0.1110514383364741</v>
      </c>
      <c r="E52" s="2">
        <v>3.1259000000000002E-2</v>
      </c>
      <c r="F52" s="2">
        <v>-0.35543609560402717</v>
      </c>
      <c r="G52" s="2">
        <v>7.2361999999999996E-2</v>
      </c>
      <c r="H52" s="2">
        <v>-0.24438465726755307</v>
      </c>
      <c r="I52" s="2">
        <v>4.1102999999999994E-2</v>
      </c>
      <c r="J52" s="2">
        <v>-0.28548765726755304</v>
      </c>
      <c r="K52" s="3" t="b">
        <v>1</v>
      </c>
    </row>
    <row r="53" spans="1:11" x14ac:dyDescent="0.25">
      <c r="A53" s="14" t="s">
        <v>21</v>
      </c>
      <c r="B53" s="15" t="s">
        <v>12</v>
      </c>
      <c r="C53" s="4">
        <v>3828</v>
      </c>
      <c r="D53" s="4">
        <v>1.190529625141391</v>
      </c>
      <c r="E53" s="4">
        <v>0.175673</v>
      </c>
      <c r="F53" s="4">
        <v>1.5470473108710718</v>
      </c>
      <c r="G53" s="4">
        <v>0.165189</v>
      </c>
      <c r="H53" s="4">
        <v>0.35651768572968079</v>
      </c>
      <c r="I53" s="4">
        <v>-1.0483999999999993E-2</v>
      </c>
      <c r="J53" s="4">
        <v>0.36700168572968078</v>
      </c>
      <c r="K53" s="5" t="b">
        <v>1</v>
      </c>
    </row>
    <row r="54" spans="1:11" x14ac:dyDescent="0.25">
      <c r="A54" s="12" t="s">
        <v>22</v>
      </c>
      <c r="B54" s="13" t="s">
        <v>12</v>
      </c>
      <c r="C54" s="2">
        <v>3828</v>
      </c>
      <c r="D54" s="2">
        <v>0.74854448228217196</v>
      </c>
      <c r="E54" s="2">
        <v>-1.5774E-2</v>
      </c>
      <c r="F54" s="2">
        <v>0.52605826914435982</v>
      </c>
      <c r="G54" s="2">
        <v>0.135711</v>
      </c>
      <c r="H54" s="2">
        <v>-0.22248621313781214</v>
      </c>
      <c r="I54" s="2">
        <v>0.15148500000000001</v>
      </c>
      <c r="J54" s="2">
        <v>-0.37397121313781212</v>
      </c>
      <c r="K54" s="3" t="b">
        <v>1</v>
      </c>
    </row>
    <row r="55" spans="1:11" x14ac:dyDescent="0.25">
      <c r="A55" s="14" t="s">
        <v>23</v>
      </c>
      <c r="B55" s="15" t="s">
        <v>12</v>
      </c>
      <c r="C55" s="4">
        <v>3828</v>
      </c>
      <c r="D55" s="4">
        <v>-0.45380717467276821</v>
      </c>
      <c r="E55" s="4">
        <v>-2.6273999999999999E-2</v>
      </c>
      <c r="F55" s="4">
        <v>-0.65450367092979511</v>
      </c>
      <c r="G55" s="4">
        <v>-0.16467399999999999</v>
      </c>
      <c r="H55" s="4">
        <v>-0.2006964962570269</v>
      </c>
      <c r="I55" s="4">
        <v>-0.1384</v>
      </c>
      <c r="J55" s="4">
        <v>-6.2296496257026907E-2</v>
      </c>
      <c r="K55" s="5" t="b">
        <v>1</v>
      </c>
    </row>
    <row r="56" spans="1:11" x14ac:dyDescent="0.25">
      <c r="A56" s="12" t="s">
        <v>24</v>
      </c>
      <c r="B56" s="13" t="s">
        <v>12</v>
      </c>
      <c r="C56" s="2">
        <v>3828</v>
      </c>
      <c r="D56" s="2">
        <v>0.14790772369748029</v>
      </c>
      <c r="E56" s="2">
        <v>8.8932999999999998E-2</v>
      </c>
      <c r="F56" s="2">
        <v>0.42158696824138098</v>
      </c>
      <c r="G56" s="2">
        <v>-5.9866999999999997E-2</v>
      </c>
      <c r="H56" s="2">
        <v>0.27367924454390069</v>
      </c>
      <c r="I56" s="2">
        <v>-0.14879999999999999</v>
      </c>
      <c r="J56" s="2">
        <v>0.42247924454390068</v>
      </c>
      <c r="K56" s="3" t="b">
        <v>1</v>
      </c>
    </row>
    <row r="57" spans="1:11" x14ac:dyDescent="0.25">
      <c r="A57" s="14" t="s">
        <v>25</v>
      </c>
      <c r="B57" s="15" t="s">
        <v>12</v>
      </c>
      <c r="C57" s="4">
        <v>3828</v>
      </c>
      <c r="D57" s="4">
        <v>0.64695833058197794</v>
      </c>
      <c r="E57" s="4">
        <v>0.16705999999999999</v>
      </c>
      <c r="F57" s="4">
        <v>0.35959828757147527</v>
      </c>
      <c r="G57" s="4">
        <v>6.4032000000000006E-2</v>
      </c>
      <c r="H57" s="4">
        <v>-0.28736004301050266</v>
      </c>
      <c r="I57" s="4">
        <v>-0.10302799999999998</v>
      </c>
      <c r="J57" s="4">
        <v>-0.18433204301050268</v>
      </c>
      <c r="K57" s="5" t="b">
        <v>1</v>
      </c>
    </row>
    <row r="58" spans="1:11" x14ac:dyDescent="0.25">
      <c r="A58" s="12" t="s">
        <v>26</v>
      </c>
      <c r="B58" s="13" t="s">
        <v>12</v>
      </c>
      <c r="C58" s="2">
        <v>3828</v>
      </c>
      <c r="D58" s="2">
        <v>0.15668869468675339</v>
      </c>
      <c r="E58" s="2">
        <v>2.3885E-2</v>
      </c>
      <c r="F58" s="2">
        <v>-0.35563545398818103</v>
      </c>
      <c r="G58" s="2">
        <v>1.4027E-2</v>
      </c>
      <c r="H58" s="2">
        <v>-0.51232414867493437</v>
      </c>
      <c r="I58" s="2">
        <v>-9.8580000000000004E-3</v>
      </c>
      <c r="J58" s="2">
        <v>-0.50246614867493433</v>
      </c>
      <c r="K58" s="3" t="b">
        <v>1</v>
      </c>
    </row>
    <row r="59" spans="1:11" x14ac:dyDescent="0.25">
      <c r="A59" s="14" t="s">
        <v>27</v>
      </c>
      <c r="B59" s="15" t="s">
        <v>12</v>
      </c>
      <c r="C59" s="4">
        <v>3828</v>
      </c>
      <c r="D59" s="4">
        <v>0.1193505318219935</v>
      </c>
      <c r="E59" s="4">
        <v>-4.7580000000000001E-3</v>
      </c>
      <c r="F59" s="4">
        <v>-5.2658708886958859E-2</v>
      </c>
      <c r="G59" s="4">
        <v>2.1163999999999999E-2</v>
      </c>
      <c r="H59" s="4">
        <v>-0.17200924070895235</v>
      </c>
      <c r="I59" s="4">
        <v>2.5922000000000001E-2</v>
      </c>
      <c r="J59" s="4">
        <v>-0.19793124070895235</v>
      </c>
      <c r="K59" s="5" t="b">
        <v>1</v>
      </c>
    </row>
    <row r="60" spans="1:11" x14ac:dyDescent="0.25">
      <c r="A60" s="12" t="s">
        <v>28</v>
      </c>
      <c r="B60" s="13" t="s">
        <v>12</v>
      </c>
      <c r="C60" s="2">
        <v>3828</v>
      </c>
      <c r="D60" s="2">
        <v>-0.31723220337727009</v>
      </c>
      <c r="E60" s="2">
        <v>3.1260000000000003E-2</v>
      </c>
      <c r="F60" s="2">
        <v>-0.52257099348728708</v>
      </c>
      <c r="G60" s="2">
        <v>-2.2945E-2</v>
      </c>
      <c r="H60" s="2">
        <v>-0.20533879011001699</v>
      </c>
      <c r="I60" s="2">
        <v>-5.4205000000000003E-2</v>
      </c>
      <c r="J60" s="2">
        <v>-0.15113379011001699</v>
      </c>
      <c r="K60" s="3" t="b">
        <v>1</v>
      </c>
    </row>
    <row r="61" spans="1:11" x14ac:dyDescent="0.25">
      <c r="A61" s="14" t="s">
        <v>29</v>
      </c>
      <c r="B61" s="15" t="s">
        <v>12</v>
      </c>
      <c r="C61" s="4">
        <v>3828</v>
      </c>
      <c r="D61" s="4">
        <v>1.7130584923561891</v>
      </c>
      <c r="E61" s="4">
        <v>0.313056</v>
      </c>
      <c r="F61" s="4">
        <v>0.78629675318135095</v>
      </c>
      <c r="G61" s="4">
        <v>-0.25945200000000002</v>
      </c>
      <c r="H61" s="4">
        <v>-0.92676173917483817</v>
      </c>
      <c r="I61" s="4">
        <v>-0.57250800000000002</v>
      </c>
      <c r="J61" s="4">
        <v>-0.35425373917483816</v>
      </c>
      <c r="K61" s="5" t="b">
        <v>1</v>
      </c>
    </row>
    <row r="62" spans="1:11" x14ac:dyDescent="0.25">
      <c r="A62" s="12" t="s">
        <v>30</v>
      </c>
      <c r="B62" s="13" t="s">
        <v>12</v>
      </c>
      <c r="C62" s="2">
        <v>3828</v>
      </c>
      <c r="D62" s="2">
        <v>1.0167117822131193</v>
      </c>
      <c r="E62" s="2">
        <v>9.4149999999999998E-2</v>
      </c>
      <c r="F62" s="2">
        <v>-3.2302166444050887E-2</v>
      </c>
      <c r="G62" s="2">
        <v>7.3126999999999998E-2</v>
      </c>
      <c r="H62" s="2">
        <v>-1.0490139486571701</v>
      </c>
      <c r="I62" s="2">
        <v>-2.1023E-2</v>
      </c>
      <c r="J62" s="2">
        <v>-1.0279909486571701</v>
      </c>
      <c r="K62" s="3" t="b">
        <v>1</v>
      </c>
    </row>
    <row r="63" spans="1:11" x14ac:dyDescent="0.25">
      <c r="A63" s="14" t="s">
        <v>31</v>
      </c>
      <c r="B63" s="15" t="s">
        <v>12</v>
      </c>
      <c r="C63" s="4">
        <v>3828</v>
      </c>
      <c r="D63" s="4">
        <v>-0.32450530665361188</v>
      </c>
      <c r="E63" s="4">
        <v>1.6372000000000001E-2</v>
      </c>
      <c r="F63" s="4">
        <v>-0.4811608251196004</v>
      </c>
      <c r="G63" s="4">
        <v>0.111161</v>
      </c>
      <c r="H63" s="4">
        <v>-0.15665551846598852</v>
      </c>
      <c r="I63" s="4">
        <v>9.4788999999999998E-2</v>
      </c>
      <c r="J63" s="4">
        <v>-0.25144451846598853</v>
      </c>
      <c r="K63" s="5" t="b">
        <v>1</v>
      </c>
    </row>
    <row r="64" spans="1:11" x14ac:dyDescent="0.25">
      <c r="A64" s="12" t="s">
        <v>32</v>
      </c>
      <c r="B64" s="13" t="s">
        <v>12</v>
      </c>
      <c r="C64" s="2">
        <v>3828</v>
      </c>
      <c r="D64" s="2">
        <v>0.84288038394535791</v>
      </c>
      <c r="E64" s="2">
        <v>0.33707300000000001</v>
      </c>
      <c r="F64" s="2">
        <v>0.30892027226572888</v>
      </c>
      <c r="G64" s="2">
        <v>3.6685000000000002E-2</v>
      </c>
      <c r="H64" s="2">
        <v>-0.53396011167962909</v>
      </c>
      <c r="I64" s="2">
        <v>-0.30038799999999999</v>
      </c>
      <c r="J64" s="2">
        <v>-0.2335721116796291</v>
      </c>
      <c r="K64" s="3" t="b">
        <v>1</v>
      </c>
    </row>
    <row r="65" spans="1:11" x14ac:dyDescent="0.25">
      <c r="A65" s="14" t="s">
        <v>33</v>
      </c>
      <c r="B65" s="15" t="s">
        <v>12</v>
      </c>
      <c r="C65" s="4">
        <v>3828</v>
      </c>
      <c r="D65" s="4">
        <v>1.1355680175870717</v>
      </c>
      <c r="E65" s="4">
        <v>0.2712</v>
      </c>
      <c r="F65" s="4">
        <v>1.2907766640694802</v>
      </c>
      <c r="G65" s="4">
        <v>9.7201999999999997E-2</v>
      </c>
      <c r="H65" s="4">
        <v>0.15520864648240851</v>
      </c>
      <c r="I65" s="4">
        <v>-0.17399799999999999</v>
      </c>
      <c r="J65" s="4">
        <v>0.32920664648240849</v>
      </c>
      <c r="K65" s="5" t="b">
        <v>1</v>
      </c>
    </row>
    <row r="66" spans="1:11" x14ac:dyDescent="0.25">
      <c r="A66" s="12" t="s">
        <v>34</v>
      </c>
      <c r="B66" s="13" t="s">
        <v>12</v>
      </c>
      <c r="C66" s="2">
        <v>3828</v>
      </c>
      <c r="D66" s="2">
        <v>0.1364472470027257</v>
      </c>
      <c r="E66" s="2">
        <v>3.2065000000000003E-2</v>
      </c>
      <c r="F66" s="2">
        <v>-0.13352649532535496</v>
      </c>
      <c r="G66" s="2">
        <v>3.5300000000000002E-3</v>
      </c>
      <c r="H66" s="2">
        <v>-0.26997374232808069</v>
      </c>
      <c r="I66" s="2">
        <v>-2.8535000000000005E-2</v>
      </c>
      <c r="J66" s="2">
        <v>-0.24143874232808069</v>
      </c>
      <c r="K66" s="3" t="b">
        <v>1</v>
      </c>
    </row>
    <row r="67" spans="1:11" x14ac:dyDescent="0.25">
      <c r="A67" s="14" t="s">
        <v>35</v>
      </c>
      <c r="B67" s="15" t="s">
        <v>12</v>
      </c>
      <c r="C67" s="4">
        <v>3828</v>
      </c>
      <c r="D67" s="4">
        <v>1.2942154598466695</v>
      </c>
      <c r="E67" s="4">
        <v>0.24563599999999999</v>
      </c>
      <c r="F67" s="4">
        <v>0.75065027634810422</v>
      </c>
      <c r="G67" s="4">
        <v>7.9916000000000001E-2</v>
      </c>
      <c r="H67" s="4">
        <v>-0.54356518349856531</v>
      </c>
      <c r="I67" s="4">
        <v>-0.16571999999999998</v>
      </c>
      <c r="J67" s="4">
        <v>-0.37784518349856533</v>
      </c>
      <c r="K67" s="5" t="b">
        <v>1</v>
      </c>
    </row>
    <row r="68" spans="1:11" x14ac:dyDescent="0.25">
      <c r="A68" s="12" t="s">
        <v>36</v>
      </c>
      <c r="B68" s="13" t="s">
        <v>12</v>
      </c>
      <c r="C68" s="2">
        <v>3828</v>
      </c>
      <c r="D68" s="2">
        <v>9.0711158683076498E-2</v>
      </c>
      <c r="E68" s="2">
        <v>8.1313999999999997E-2</v>
      </c>
      <c r="F68" s="2">
        <v>-0.21151283814922259</v>
      </c>
      <c r="G68" s="2">
        <v>0.14954899999999999</v>
      </c>
      <c r="H68" s="2">
        <v>-0.30222399683229906</v>
      </c>
      <c r="I68" s="2">
        <v>6.823499999999999E-2</v>
      </c>
      <c r="J68" s="2">
        <v>-0.37045899683229905</v>
      </c>
      <c r="K68" s="3" t="b">
        <v>1</v>
      </c>
    </row>
    <row r="69" spans="1:11" x14ac:dyDescent="0.25">
      <c r="A69" s="14" t="s">
        <v>37</v>
      </c>
      <c r="B69" s="15" t="s">
        <v>12</v>
      </c>
      <c r="C69" s="4">
        <v>3828</v>
      </c>
      <c r="D69" s="4">
        <v>1.1789774034082137</v>
      </c>
      <c r="E69" s="4">
        <v>-8.2865999999999995E-2</v>
      </c>
      <c r="F69" s="4">
        <v>1.0459275707772617</v>
      </c>
      <c r="G69" s="4">
        <v>4.7937E-2</v>
      </c>
      <c r="H69" s="4">
        <v>-0.13304983263095194</v>
      </c>
      <c r="I69" s="4">
        <v>0.130803</v>
      </c>
      <c r="J69" s="4">
        <v>-0.26385283263095194</v>
      </c>
      <c r="K69" s="5" t="b">
        <v>1</v>
      </c>
    </row>
    <row r="70" spans="1:11" x14ac:dyDescent="0.25">
      <c r="A70" s="12" t="s">
        <v>38</v>
      </c>
      <c r="B70" s="13" t="s">
        <v>12</v>
      </c>
      <c r="C70" s="2">
        <v>3828</v>
      </c>
      <c r="D70" s="2">
        <v>0.46399713223666811</v>
      </c>
      <c r="E70" s="2">
        <v>-0.168438</v>
      </c>
      <c r="F70" s="2">
        <v>1.2781206997641954</v>
      </c>
      <c r="G70" s="2">
        <v>0.142877</v>
      </c>
      <c r="H70" s="2">
        <v>0.81412356752752735</v>
      </c>
      <c r="I70" s="2">
        <v>0.31131500000000001</v>
      </c>
      <c r="J70" s="2">
        <v>0.50280856752752734</v>
      </c>
      <c r="K70" s="3" t="b">
        <v>1</v>
      </c>
    </row>
    <row r="71" spans="1:11" x14ac:dyDescent="0.25">
      <c r="A71" s="14" t="s">
        <v>39</v>
      </c>
      <c r="B71" s="15" t="s">
        <v>12</v>
      </c>
      <c r="C71" s="4">
        <v>3828</v>
      </c>
      <c r="D71" s="4">
        <v>-0.42343299075584151</v>
      </c>
      <c r="E71" s="4">
        <v>6.3566999999999999E-2</v>
      </c>
      <c r="F71" s="4">
        <v>-0.35039480551141888</v>
      </c>
      <c r="G71" s="4">
        <v>3.7657999999999997E-2</v>
      </c>
      <c r="H71" s="4">
        <v>7.3038185244422626E-2</v>
      </c>
      <c r="I71" s="4">
        <v>-2.5909000000000001E-2</v>
      </c>
      <c r="J71" s="4">
        <v>9.8947185244422628E-2</v>
      </c>
      <c r="K71" s="5" t="b">
        <v>1</v>
      </c>
    </row>
    <row r="72" spans="1:11" x14ac:dyDescent="0.25">
      <c r="A72" s="12" t="s">
        <v>41</v>
      </c>
      <c r="B72" s="13" t="s">
        <v>12</v>
      </c>
      <c r="C72" s="2">
        <v>3828</v>
      </c>
      <c r="D72" s="2">
        <v>-0.22398402935121309</v>
      </c>
      <c r="E72" s="2">
        <v>2.8622000000000002E-2</v>
      </c>
      <c r="F72" s="2">
        <v>-0.14462332718540097</v>
      </c>
      <c r="G72" s="2">
        <v>5.9489E-2</v>
      </c>
      <c r="H72" s="2">
        <v>7.9360702165812119E-2</v>
      </c>
      <c r="I72" s="2">
        <v>3.0866999999999999E-2</v>
      </c>
      <c r="J72" s="2">
        <v>4.8493702165812121E-2</v>
      </c>
      <c r="K72" s="3" t="b">
        <v>1</v>
      </c>
    </row>
    <row r="73" spans="1:11" x14ac:dyDescent="0.25">
      <c r="A73" s="14" t="s">
        <v>42</v>
      </c>
      <c r="B73" s="15" t="s">
        <v>12</v>
      </c>
      <c r="C73" s="4">
        <v>3828</v>
      </c>
      <c r="D73" s="4">
        <v>1.4777397627267828</v>
      </c>
      <c r="E73" s="4">
        <v>0.35854399999999997</v>
      </c>
      <c r="F73" s="4">
        <v>0.68479343909586454</v>
      </c>
      <c r="G73" s="4">
        <v>0.14568600000000001</v>
      </c>
      <c r="H73" s="4">
        <v>-0.79294632363091822</v>
      </c>
      <c r="I73" s="4">
        <v>-0.21285799999999996</v>
      </c>
      <c r="J73" s="4">
        <v>-0.58008832363091822</v>
      </c>
      <c r="K73" s="5" t="b">
        <v>1</v>
      </c>
    </row>
    <row r="74" spans="1:11" x14ac:dyDescent="0.25">
      <c r="A74" s="12" t="s">
        <v>43</v>
      </c>
      <c r="B74" s="13" t="s">
        <v>12</v>
      </c>
      <c r="C74" s="2">
        <v>3828</v>
      </c>
      <c r="D74" s="2">
        <v>0.67440820484478847</v>
      </c>
      <c r="E74" s="2">
        <v>0.22115000000000001</v>
      </c>
      <c r="F74" s="2">
        <v>0.58750617313737408</v>
      </c>
      <c r="G74" s="2">
        <v>-0.16395299999999999</v>
      </c>
      <c r="H74" s="2">
        <v>-8.6902031707414396E-2</v>
      </c>
      <c r="I74" s="2">
        <v>-0.38510299999999997</v>
      </c>
      <c r="J74" s="2">
        <v>0.29820096829258558</v>
      </c>
      <c r="K74" s="3" t="b">
        <v>1</v>
      </c>
    </row>
    <row r="75" spans="1:11" x14ac:dyDescent="0.25">
      <c r="A75" s="14" t="s">
        <v>44</v>
      </c>
      <c r="B75" s="15" t="s">
        <v>12</v>
      </c>
      <c r="C75" s="4">
        <v>3828</v>
      </c>
      <c r="D75" s="4">
        <v>1.7531642528382434</v>
      </c>
      <c r="E75" s="4">
        <v>0.223581</v>
      </c>
      <c r="F75" s="4">
        <v>0.70692933088063692</v>
      </c>
      <c r="G75" s="4">
        <v>6.0359000000000003E-2</v>
      </c>
      <c r="H75" s="4">
        <v>-1.0462349219576064</v>
      </c>
      <c r="I75" s="4">
        <v>-0.16322200000000001</v>
      </c>
      <c r="J75" s="4">
        <v>-0.88301292195760639</v>
      </c>
      <c r="K75" s="5" t="b">
        <v>1</v>
      </c>
    </row>
    <row r="76" spans="1:11" x14ac:dyDescent="0.25">
      <c r="A76" s="12" t="s">
        <v>45</v>
      </c>
      <c r="B76" s="13" t="s">
        <v>12</v>
      </c>
      <c r="C76" s="2">
        <v>3828</v>
      </c>
      <c r="D76" s="2">
        <v>-0.73114202057525179</v>
      </c>
      <c r="E76" s="2">
        <v>0.11131199999999999</v>
      </c>
      <c r="F76" s="2">
        <v>-0.67560025910894217</v>
      </c>
      <c r="G76" s="2">
        <v>-1.8539E-2</v>
      </c>
      <c r="H76" s="2">
        <v>5.5541761466309625E-2</v>
      </c>
      <c r="I76" s="2">
        <v>-0.12985099999999999</v>
      </c>
      <c r="J76" s="2">
        <v>0.18539276146630962</v>
      </c>
      <c r="K76" s="3" t="b">
        <v>1</v>
      </c>
    </row>
    <row r="77" spans="1:11" x14ac:dyDescent="0.25">
      <c r="A77" s="14" t="s">
        <v>46</v>
      </c>
      <c r="B77" s="15" t="s">
        <v>12</v>
      </c>
      <c r="C77" s="4">
        <v>3828</v>
      </c>
      <c r="D77" s="4">
        <v>0.52832089247944169</v>
      </c>
      <c r="E77" s="4">
        <v>-2.4718E-2</v>
      </c>
      <c r="F77" s="4">
        <v>9.8779271835730306E-2</v>
      </c>
      <c r="G77" s="4">
        <v>-5.2999999999999998E-4</v>
      </c>
      <c r="H77" s="4">
        <v>-0.42954162064371137</v>
      </c>
      <c r="I77" s="4">
        <v>2.4188000000000001E-2</v>
      </c>
      <c r="J77" s="4">
        <v>-0.45372962064371136</v>
      </c>
      <c r="K77" s="5" t="b">
        <v>1</v>
      </c>
    </row>
    <row r="78" spans="1:11" x14ac:dyDescent="0.25">
      <c r="A78" s="12" t="s">
        <v>47</v>
      </c>
      <c r="B78" s="13" t="s">
        <v>12</v>
      </c>
      <c r="C78" s="2">
        <v>3828</v>
      </c>
      <c r="D78" s="2">
        <v>1.6101939356626118</v>
      </c>
      <c r="E78" s="2">
        <v>0.25606000000000001</v>
      </c>
      <c r="F78" s="2">
        <v>0.50457779173556561</v>
      </c>
      <c r="G78" s="2">
        <v>-0.10309599999999999</v>
      </c>
      <c r="H78" s="2">
        <v>-1.1056161439270462</v>
      </c>
      <c r="I78" s="2">
        <v>-0.35915600000000003</v>
      </c>
      <c r="J78" s="2">
        <v>-0.74646014392704618</v>
      </c>
      <c r="K78" s="3" t="b">
        <v>1</v>
      </c>
    </row>
    <row r="79" spans="1:11" x14ac:dyDescent="0.25">
      <c r="A79" s="14" t="s">
        <v>48</v>
      </c>
      <c r="B79" s="15" t="s">
        <v>12</v>
      </c>
      <c r="C79" s="4">
        <v>3828</v>
      </c>
      <c r="D79" s="4">
        <v>0.19525977235893741</v>
      </c>
      <c r="E79" s="4">
        <v>4.3750000000000004E-3</v>
      </c>
      <c r="F79" s="4">
        <v>0.75382275134247123</v>
      </c>
      <c r="G79" s="4">
        <v>-7.4530000000000004E-3</v>
      </c>
      <c r="H79" s="4">
        <v>0.5585629789835338</v>
      </c>
      <c r="I79" s="4">
        <v>-1.1828000000000002E-2</v>
      </c>
      <c r="J79" s="4">
        <v>0.57039097898353375</v>
      </c>
      <c r="K79" s="5" t="b">
        <v>1</v>
      </c>
    </row>
    <row r="80" spans="1:11" x14ac:dyDescent="0.25">
      <c r="A80" s="12" t="s">
        <v>49</v>
      </c>
      <c r="B80" s="13" t="s">
        <v>12</v>
      </c>
      <c r="C80" s="2">
        <v>3828</v>
      </c>
      <c r="D80" s="2">
        <v>-0.1552174178258984</v>
      </c>
      <c r="E80" s="2">
        <v>-5.7009999999999998E-2</v>
      </c>
      <c r="F80" s="2">
        <v>0.23343157415143514</v>
      </c>
      <c r="G80" s="2">
        <v>7.9455999999999999E-2</v>
      </c>
      <c r="H80" s="2">
        <v>0.38864899197733355</v>
      </c>
      <c r="I80" s="2">
        <v>0.136466</v>
      </c>
      <c r="J80" s="2">
        <v>0.25218299197733351</v>
      </c>
      <c r="K80" s="3" t="b">
        <v>1</v>
      </c>
    </row>
    <row r="81" spans="1:11" x14ac:dyDescent="0.25">
      <c r="A81" s="14" t="s">
        <v>51</v>
      </c>
      <c r="B81" s="15" t="s">
        <v>12</v>
      </c>
      <c r="C81" s="4">
        <v>3828</v>
      </c>
      <c r="D81" s="4">
        <v>0.66224259609558755</v>
      </c>
      <c r="E81" s="4">
        <v>0.17669499999999999</v>
      </c>
      <c r="F81" s="4">
        <v>0.89648836094698348</v>
      </c>
      <c r="G81" s="4">
        <v>-1.6920000000000001E-2</v>
      </c>
      <c r="H81" s="4">
        <v>0.23424576485139592</v>
      </c>
      <c r="I81" s="4">
        <v>-0.19361499999999998</v>
      </c>
      <c r="J81" s="4">
        <v>0.4278607648513959</v>
      </c>
      <c r="K81" s="5" t="b">
        <v>1</v>
      </c>
    </row>
    <row r="83" spans="1:11" x14ac:dyDescent="0.25">
      <c r="C83" t="s">
        <v>52</v>
      </c>
      <c r="D83">
        <f>MIN(D44:D81)</f>
        <v>-0.91751063479620576</v>
      </c>
      <c r="E83">
        <f t="shared" ref="E83:J83" si="0">MIN(E44:E81)</f>
        <v>-0.168438</v>
      </c>
      <c r="F83">
        <f t="shared" si="0"/>
        <v>-1.0753560251729413</v>
      </c>
      <c r="G83">
        <f t="shared" si="0"/>
        <v>-0.25957200000000002</v>
      </c>
      <c r="H83">
        <f t="shared" si="0"/>
        <v>-1.1056161439270462</v>
      </c>
      <c r="I83">
        <f t="shared" si="0"/>
        <v>-0.57250800000000002</v>
      </c>
      <c r="J83">
        <f t="shared" si="0"/>
        <v>-1.0279909486571701</v>
      </c>
    </row>
    <row r="84" spans="1:11" x14ac:dyDescent="0.25">
      <c r="C84" t="s">
        <v>53</v>
      </c>
      <c r="D84">
        <f>MAX(D44:D81)</f>
        <v>1.7531642528382434</v>
      </c>
      <c r="E84">
        <f t="shared" ref="E84:J84" si="1">MAX(E44:E81)</f>
        <v>0.35854399999999997</v>
      </c>
      <c r="F84">
        <f t="shared" si="1"/>
        <v>1.5470473108710718</v>
      </c>
      <c r="G84">
        <f t="shared" si="1"/>
        <v>0.217226</v>
      </c>
      <c r="H84">
        <f t="shared" si="1"/>
        <v>0.81412356752752735</v>
      </c>
      <c r="I84">
        <f t="shared" si="1"/>
        <v>0.31131500000000001</v>
      </c>
      <c r="J84">
        <f t="shared" si="1"/>
        <v>0.57039097898353375</v>
      </c>
    </row>
    <row r="85" spans="1:11" x14ac:dyDescent="0.25">
      <c r="C85" t="s">
        <v>54</v>
      </c>
      <c r="D85">
        <f>D84-D83</f>
        <v>2.670674887634449</v>
      </c>
      <c r="E85">
        <f t="shared" ref="E85:J85" si="2">E84-E83</f>
        <v>0.52698199999999995</v>
      </c>
      <c r="F85">
        <f t="shared" si="2"/>
        <v>2.6224033360440133</v>
      </c>
      <c r="G85">
        <f t="shared" si="2"/>
        <v>0.47679800000000006</v>
      </c>
      <c r="H85">
        <f t="shared" si="2"/>
        <v>1.9197397114545736</v>
      </c>
      <c r="I85">
        <f t="shared" si="2"/>
        <v>0.88382300000000003</v>
      </c>
      <c r="J85">
        <f t="shared" si="2"/>
        <v>1.5983819276407039</v>
      </c>
    </row>
    <row r="88" spans="1:11" x14ac:dyDescent="0.25"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</row>
    <row r="89" spans="1:11" x14ac:dyDescent="0.25">
      <c r="C89" s="12" t="s">
        <v>11</v>
      </c>
      <c r="D89">
        <f>(D44-D$83)/D$85</f>
        <v>0.19725797434908143</v>
      </c>
      <c r="E89">
        <f t="shared" ref="E89:J89" si="3">(E44-E$83)/E$85</f>
        <v>0.32681192146980359</v>
      </c>
      <c r="F89">
        <f t="shared" si="3"/>
        <v>0.29209540182791044</v>
      </c>
      <c r="G89">
        <f t="shared" si="3"/>
        <v>0.57748774113985368</v>
      </c>
      <c r="H89">
        <f t="shared" si="3"/>
        <v>0.61828735644993404</v>
      </c>
      <c r="I89">
        <f t="shared" si="3"/>
        <v>0.66132585370600216</v>
      </c>
      <c r="J89">
        <f t="shared" si="3"/>
        <v>0.68653090792703164</v>
      </c>
    </row>
    <row r="90" spans="1:11" x14ac:dyDescent="0.25">
      <c r="C90" s="14" t="s">
        <v>13</v>
      </c>
      <c r="D90">
        <f t="shared" ref="D90:J90" si="4">(D45-D$83)/D$85</f>
        <v>0.11460705344799285</v>
      </c>
      <c r="E90">
        <f t="shared" si="4"/>
        <v>0.4026418359640368</v>
      </c>
      <c r="F90">
        <f t="shared" si="4"/>
        <v>5.1416895530123151E-2</v>
      </c>
      <c r="G90">
        <f t="shared" si="4"/>
        <v>0.62798921136414165</v>
      </c>
      <c r="H90">
        <f t="shared" si="4"/>
        <v>0.40449671780755547</v>
      </c>
      <c r="I90">
        <f t="shared" si="4"/>
        <v>0.64335619235978247</v>
      </c>
      <c r="J90">
        <f t="shared" si="4"/>
        <v>0.43969354564443164</v>
      </c>
    </row>
    <row r="91" spans="1:11" x14ac:dyDescent="0.25">
      <c r="C91" s="12" t="s">
        <v>14</v>
      </c>
      <c r="D91">
        <f t="shared" ref="D91:J91" si="5">(D46-D$83)/D$85</f>
        <v>0.46059129789071401</v>
      </c>
      <c r="E91">
        <f t="shared" si="5"/>
        <v>0.503516249131849</v>
      </c>
      <c r="F91">
        <f t="shared" si="5"/>
        <v>0.52441520205377501</v>
      </c>
      <c r="G91">
        <f t="shared" si="5"/>
        <v>0.57026665380307806</v>
      </c>
      <c r="H91">
        <f t="shared" si="5"/>
        <v>0.56930078053162125</v>
      </c>
      <c r="I91">
        <f t="shared" si="5"/>
        <v>0.5520698148837494</v>
      </c>
      <c r="J91">
        <f t="shared" si="5"/>
        <v>0.68810845634510742</v>
      </c>
    </row>
    <row r="92" spans="1:11" x14ac:dyDescent="0.25">
      <c r="C92" s="14" t="s">
        <v>15</v>
      </c>
      <c r="D92">
        <f t="shared" ref="D92:J92" si="6">(D47-D$83)/D$85</f>
        <v>0.27868844516610369</v>
      </c>
      <c r="E92">
        <f t="shared" si="6"/>
        <v>0.4238114394799064</v>
      </c>
      <c r="F92">
        <f t="shared" si="6"/>
        <v>0.42825851343356358</v>
      </c>
      <c r="G92">
        <f t="shared" si="6"/>
        <v>0.27802759239761909</v>
      </c>
      <c r="H92">
        <f t="shared" si="6"/>
        <v>0.69100569622723274</v>
      </c>
      <c r="I92">
        <f t="shared" si="6"/>
        <v>0.44193916655257898</v>
      </c>
      <c r="J92">
        <f t="shared" si="6"/>
        <v>0.89517896559982413</v>
      </c>
    </row>
    <row r="93" spans="1:11" x14ac:dyDescent="0.25">
      <c r="C93" s="12" t="s">
        <v>16</v>
      </c>
      <c r="D93">
        <f t="shared" ref="D93:J93" si="7">(D48-D$83)/D$85</f>
        <v>0.22686202863444599</v>
      </c>
      <c r="E93">
        <f t="shared" si="7"/>
        <v>0.40744845174977523</v>
      </c>
      <c r="F93">
        <f t="shared" si="7"/>
        <v>0.31567998287980481</v>
      </c>
      <c r="G93">
        <f t="shared" si="7"/>
        <v>0.54334539993875808</v>
      </c>
      <c r="H93">
        <f t="shared" si="7"/>
        <v>0.60932024480470037</v>
      </c>
      <c r="I93">
        <f t="shared" si="7"/>
        <v>0.59482724482164417</v>
      </c>
      <c r="J93">
        <f t="shared" si="7"/>
        <v>0.71253125174907461</v>
      </c>
    </row>
    <row r="94" spans="1:11" x14ac:dyDescent="0.25">
      <c r="C94" s="14" t="s">
        <v>17</v>
      </c>
      <c r="D94">
        <f t="shared" ref="D94:J94" si="8">(D49-D$83)/D$85</f>
        <v>4.1525602014056043E-2</v>
      </c>
      <c r="E94">
        <f t="shared" si="8"/>
        <v>0.65278130941853807</v>
      </c>
      <c r="F94">
        <f t="shared" si="8"/>
        <v>0</v>
      </c>
      <c r="G94">
        <f t="shared" si="8"/>
        <v>0.62043464947420079</v>
      </c>
      <c r="H94">
        <f t="shared" si="8"/>
        <v>0.43592856159826926</v>
      </c>
      <c r="I94">
        <f t="shared" si="8"/>
        <v>0.49013433685251462</v>
      </c>
      <c r="J94">
        <f t="shared" si="8"/>
        <v>0.56216862831645931</v>
      </c>
    </row>
    <row r="95" spans="1:11" x14ac:dyDescent="0.25">
      <c r="C95" s="12" t="s">
        <v>18</v>
      </c>
      <c r="D95">
        <f t="shared" ref="D95:J95" si="9">(D50-D$83)/D$85</f>
        <v>0</v>
      </c>
      <c r="E95">
        <f t="shared" si="9"/>
        <v>0.58387573010083837</v>
      </c>
      <c r="F95">
        <f t="shared" si="9"/>
        <v>0.17671816701031451</v>
      </c>
      <c r="G95">
        <f t="shared" si="9"/>
        <v>1</v>
      </c>
      <c r="H95">
        <f t="shared" si="9"/>
        <v>0.73509812597901014</v>
      </c>
      <c r="I95">
        <f t="shared" si="9"/>
        <v>0.73598446747821689</v>
      </c>
      <c r="J95">
        <f t="shared" si="9"/>
        <v>0.78554433535243873</v>
      </c>
    </row>
    <row r="96" spans="1:11" x14ac:dyDescent="0.25">
      <c r="C96" s="14" t="s">
        <v>19</v>
      </c>
      <c r="D96">
        <f t="shared" ref="D96:J96" si="10">(D51-D$83)/D$85</f>
        <v>0.20613292390708238</v>
      </c>
      <c r="E96">
        <f t="shared" si="10"/>
        <v>0.69832555950677644</v>
      </c>
      <c r="F96">
        <f t="shared" si="10"/>
        <v>8.8561117901561293E-2</v>
      </c>
      <c r="G96">
        <f t="shared" si="10"/>
        <v>0</v>
      </c>
      <c r="H96">
        <f t="shared" si="10"/>
        <v>0.32790888130812118</v>
      </c>
      <c r="I96">
        <f t="shared" si="10"/>
        <v>0.1282711583654193</v>
      </c>
      <c r="J96">
        <f t="shared" si="10"/>
        <v>0.63252310879683038</v>
      </c>
    </row>
    <row r="97" spans="3:10" x14ac:dyDescent="0.25">
      <c r="C97" s="12" t="s">
        <v>20</v>
      </c>
      <c r="D97">
        <f t="shared" ref="D97:J97" si="11">(D52-D$83)/D$85</f>
        <v>0.30196831527256884</v>
      </c>
      <c r="E97">
        <f t="shared" si="11"/>
        <v>0.37894463188496008</v>
      </c>
      <c r="F97">
        <f t="shared" si="11"/>
        <v>0.27452677460933156</v>
      </c>
      <c r="G97">
        <f t="shared" si="11"/>
        <v>0.69617322220311317</v>
      </c>
      <c r="H97">
        <f t="shared" si="11"/>
        <v>0.44861888386261695</v>
      </c>
      <c r="I97">
        <f t="shared" si="11"/>
        <v>0.69426910139247333</v>
      </c>
      <c r="J97">
        <f t="shared" si="11"/>
        <v>0.46453433847665626</v>
      </c>
    </row>
    <row r="98" spans="3:10" x14ac:dyDescent="0.25">
      <c r="C98" s="14" t="s">
        <v>21</v>
      </c>
      <c r="D98">
        <f t="shared" ref="D98:J98" si="12">(D53-D$83)/D$85</f>
        <v>0.7893286710778914</v>
      </c>
      <c r="E98">
        <f t="shared" si="12"/>
        <v>0.65298435240672359</v>
      </c>
      <c r="F98">
        <f t="shared" si="12"/>
        <v>1</v>
      </c>
      <c r="G98">
        <f t="shared" si="12"/>
        <v>0.89086153884873676</v>
      </c>
      <c r="H98">
        <f t="shared" si="12"/>
        <v>0.761631288310892</v>
      </c>
      <c r="I98">
        <f t="shared" si="12"/>
        <v>0.63590107974107946</v>
      </c>
      <c r="J98">
        <f t="shared" si="12"/>
        <v>0.87275300744042672</v>
      </c>
    </row>
    <row r="99" spans="3:10" x14ac:dyDescent="0.25">
      <c r="C99" s="12" t="s">
        <v>22</v>
      </c>
      <c r="D99">
        <f t="shared" ref="D99:J99" si="13">(D54-D$83)/D$85</f>
        <v>0.62383299621845267</v>
      </c>
      <c r="E99">
        <f t="shared" si="13"/>
        <v>0.28969490419027599</v>
      </c>
      <c r="F99">
        <f t="shared" si="13"/>
        <v>0.61066666302106309</v>
      </c>
      <c r="G99">
        <f t="shared" si="13"/>
        <v>0.82903661508647264</v>
      </c>
      <c r="H99">
        <f t="shared" si="13"/>
        <v>0.4600258699238412</v>
      </c>
      <c r="I99">
        <f t="shared" si="13"/>
        <v>0.8191606237900575</v>
      </c>
      <c r="J99">
        <f t="shared" si="13"/>
        <v>0.40917613256846919</v>
      </c>
    </row>
    <row r="100" spans="3:10" x14ac:dyDescent="0.25">
      <c r="C100" s="14" t="s">
        <v>23</v>
      </c>
      <c r="D100">
        <f t="shared" ref="D100:J100" si="14">(D55-D$83)/D$85</f>
        <v>0.17362782054470247</v>
      </c>
      <c r="E100">
        <f t="shared" si="14"/>
        <v>0.26977012497580566</v>
      </c>
      <c r="F100">
        <f t="shared" si="14"/>
        <v>0.16048345746768938</v>
      </c>
      <c r="G100">
        <f t="shared" si="14"/>
        <v>0.19903187513370449</v>
      </c>
      <c r="H100">
        <f t="shared" si="14"/>
        <v>0.47137621953153636</v>
      </c>
      <c r="I100">
        <f t="shared" si="14"/>
        <v>0.49117074346334055</v>
      </c>
      <c r="J100">
        <f t="shared" si="14"/>
        <v>0.6041700270132303</v>
      </c>
    </row>
    <row r="101" spans="3:10" x14ac:dyDescent="0.25">
      <c r="C101" s="12" t="s">
        <v>24</v>
      </c>
      <c r="D101">
        <f t="shared" ref="D101:J101" si="15">(D56-D$83)/D$85</f>
        <v>0.3989322561973766</v>
      </c>
      <c r="E101">
        <f t="shared" si="15"/>
        <v>0.48838670011499452</v>
      </c>
      <c r="F101">
        <f t="shared" si="15"/>
        <v>0.57082866424068568</v>
      </c>
      <c r="G101">
        <f t="shared" si="15"/>
        <v>0.41884613609956417</v>
      </c>
      <c r="H101">
        <f t="shared" si="15"/>
        <v>0.7184804170279232</v>
      </c>
      <c r="I101">
        <f t="shared" si="15"/>
        <v>0.47940368150636498</v>
      </c>
      <c r="J101">
        <f t="shared" si="15"/>
        <v>0.90746158231533647</v>
      </c>
    </row>
    <row r="102" spans="3:10" x14ac:dyDescent="0.25">
      <c r="C102" s="14" t="s">
        <v>25</v>
      </c>
      <c r="D102">
        <f t="shared" ref="D102:J102" si="16">(D57-D$83)/D$85</f>
        <v>0.58579536304544821</v>
      </c>
      <c r="E102">
        <f t="shared" si="16"/>
        <v>0.63664034065679664</v>
      </c>
      <c r="F102">
        <f t="shared" si="16"/>
        <v>0.54719054579494808</v>
      </c>
      <c r="G102">
        <f t="shared" si="16"/>
        <v>0.67870251133603743</v>
      </c>
      <c r="H102">
        <f t="shared" si="16"/>
        <v>0.42623283564653486</v>
      </c>
      <c r="I102">
        <f t="shared" si="16"/>
        <v>0.53119233149623846</v>
      </c>
      <c r="J102">
        <f t="shared" si="16"/>
        <v>0.52782059847983431</v>
      </c>
    </row>
    <row r="103" spans="3:10" x14ac:dyDescent="0.25">
      <c r="C103" s="12" t="s">
        <v>26</v>
      </c>
      <c r="D103">
        <f t="shared" ref="D103:J103" si="17">(D58-D$83)/D$85</f>
        <v>0.40222017829898854</v>
      </c>
      <c r="E103">
        <f t="shared" si="17"/>
        <v>0.3649517440823406</v>
      </c>
      <c r="F103">
        <f t="shared" si="17"/>
        <v>0.274450753357599</v>
      </c>
      <c r="G103">
        <f t="shared" si="17"/>
        <v>0.57382581302773927</v>
      </c>
      <c r="H103">
        <f t="shared" si="17"/>
        <v>0.30904814424168919</v>
      </c>
      <c r="I103">
        <f t="shared" si="17"/>
        <v>0.63660936635502807</v>
      </c>
      <c r="J103">
        <f t="shared" si="17"/>
        <v>0.32878549919413702</v>
      </c>
    </row>
    <row r="104" spans="3:10" x14ac:dyDescent="0.25">
      <c r="C104" s="14" t="s">
        <v>27</v>
      </c>
      <c r="D104">
        <f t="shared" ref="D104:J104" si="18">(D59-D$83)/D$85</f>
        <v>0.38823938152075083</v>
      </c>
      <c r="E104">
        <f t="shared" si="18"/>
        <v>0.31059884398328597</v>
      </c>
      <c r="F104">
        <f t="shared" si="18"/>
        <v>0.38998475262343013</v>
      </c>
      <c r="G104">
        <f t="shared" si="18"/>
        <v>0.5887944160839601</v>
      </c>
      <c r="H104">
        <f t="shared" si="18"/>
        <v>0.48631952428108405</v>
      </c>
      <c r="I104">
        <f t="shared" si="18"/>
        <v>0.67709258528008431</v>
      </c>
      <c r="J104">
        <f t="shared" si="18"/>
        <v>0.51931249571460658</v>
      </c>
    </row>
    <row r="105" spans="3:10" x14ac:dyDescent="0.25">
      <c r="C105" s="12" t="s">
        <v>28</v>
      </c>
      <c r="D105">
        <f t="shared" ref="D105:J105" si="19">(D60-D$83)/D$85</f>
        <v>0.22476656900407388</v>
      </c>
      <c r="E105">
        <f t="shared" si="19"/>
        <v>0.37894652948298052</v>
      </c>
      <c r="F105">
        <f t="shared" si="19"/>
        <v>0.21079329182045262</v>
      </c>
      <c r="G105">
        <f t="shared" si="19"/>
        <v>0.49628354145780812</v>
      </c>
      <c r="H105">
        <f t="shared" si="19"/>
        <v>0.46895803032323341</v>
      </c>
      <c r="I105">
        <f t="shared" si="19"/>
        <v>0.58643303014291315</v>
      </c>
      <c r="J105">
        <f t="shared" si="19"/>
        <v>0.54859051105604073</v>
      </c>
    </row>
    <row r="106" spans="3:10" x14ac:dyDescent="0.25">
      <c r="C106" s="14" t="s">
        <v>29</v>
      </c>
      <c r="D106">
        <f t="shared" ref="D106:J106" si="20">(D61-D$83)/D$85</f>
        <v>0.98498291174723329</v>
      </c>
      <c r="E106">
        <f t="shared" si="20"/>
        <v>0.91368206124687379</v>
      </c>
      <c r="F106">
        <f t="shared" si="20"/>
        <v>0.7099032985378444</v>
      </c>
      <c r="G106">
        <f t="shared" si="20"/>
        <v>2.5167890804912978E-4</v>
      </c>
      <c r="H106">
        <f t="shared" si="20"/>
        <v>9.3165966034369982E-2</v>
      </c>
      <c r="I106">
        <f t="shared" si="20"/>
        <v>0</v>
      </c>
      <c r="J106">
        <f t="shared" si="20"/>
        <v>0.42151202902850865</v>
      </c>
    </row>
    <row r="107" spans="3:10" x14ac:dyDescent="0.25">
      <c r="C107" s="12" t="s">
        <v>30</v>
      </c>
      <c r="D107">
        <f t="shared" ref="D107:J107" si="21">(D62-D$83)/D$85</f>
        <v>0.72424480642140721</v>
      </c>
      <c r="E107">
        <f t="shared" si="21"/>
        <v>0.49828646898755558</v>
      </c>
      <c r="F107">
        <f t="shared" si="21"/>
        <v>0.39774730469279129</v>
      </c>
      <c r="G107">
        <f t="shared" si="21"/>
        <v>0.69777767524192635</v>
      </c>
      <c r="H107">
        <f t="shared" si="21"/>
        <v>2.948430713400672E-2</v>
      </c>
      <c r="I107">
        <f t="shared" si="21"/>
        <v>0.62397674647525581</v>
      </c>
      <c r="J107">
        <f t="shared" si="21"/>
        <v>0</v>
      </c>
    </row>
    <row r="108" spans="3:10" x14ac:dyDescent="0.25">
      <c r="C108" s="14" t="s">
        <v>31</v>
      </c>
      <c r="D108">
        <f t="shared" ref="D108:J108" si="22">(D63-D$83)/D$85</f>
        <v>0.22204324865159777</v>
      </c>
      <c r="E108">
        <f t="shared" si="22"/>
        <v>0.35069509015488198</v>
      </c>
      <c r="F108">
        <f t="shared" si="22"/>
        <v>0.22658421452045013</v>
      </c>
      <c r="G108">
        <f t="shared" si="22"/>
        <v>0.77754730514809201</v>
      </c>
      <c r="H108">
        <f t="shared" si="22"/>
        <v>0.4943173388552955</v>
      </c>
      <c r="I108">
        <f t="shared" si="22"/>
        <v>0.75501203295229924</v>
      </c>
      <c r="J108">
        <f t="shared" si="22"/>
        <v>0.48583283929980681</v>
      </c>
    </row>
    <row r="109" spans="3:10" x14ac:dyDescent="0.25">
      <c r="C109" s="12" t="s">
        <v>32</v>
      </c>
      <c r="D109">
        <f t="shared" ref="D109:J109" si="23">(D64-D$83)/D$85</f>
        <v>0.65915586614169663</v>
      </c>
      <c r="E109">
        <f t="shared" si="23"/>
        <v>0.95925667290343897</v>
      </c>
      <c r="F109">
        <f t="shared" si="23"/>
        <v>0.52786551878281973</v>
      </c>
      <c r="G109">
        <f t="shared" si="23"/>
        <v>0.62134698551587886</v>
      </c>
      <c r="H109">
        <f t="shared" si="23"/>
        <v>0.29777788563548402</v>
      </c>
      <c r="I109">
        <f t="shared" si="23"/>
        <v>0.30788970189732562</v>
      </c>
      <c r="J109">
        <f t="shared" si="23"/>
        <v>0.49701440140163822</v>
      </c>
    </row>
    <row r="110" spans="3:10" x14ac:dyDescent="0.25">
      <c r="C110" s="14" t="s">
        <v>33</v>
      </c>
      <c r="D110">
        <f t="shared" ref="D110:J110" si="24">(D65-D$83)/D$85</f>
        <v>0.76874900119414846</v>
      </c>
      <c r="E110">
        <f t="shared" si="24"/>
        <v>0.83425619850393373</v>
      </c>
      <c r="F110">
        <f t="shared" si="24"/>
        <v>0.90227641824610216</v>
      </c>
      <c r="G110">
        <f t="shared" si="24"/>
        <v>0.74827075616927918</v>
      </c>
      <c r="H110">
        <f t="shared" si="24"/>
        <v>0.65676861445666324</v>
      </c>
      <c r="I110">
        <f t="shared" si="24"/>
        <v>0.45089344812253135</v>
      </c>
      <c r="J110">
        <f t="shared" si="24"/>
        <v>0.84910719501369369</v>
      </c>
    </row>
    <row r="111" spans="3:10" x14ac:dyDescent="0.25">
      <c r="C111" s="12" t="s">
        <v>34</v>
      </c>
      <c r="D111">
        <f t="shared" ref="D111:J111" si="25">(D66-D$83)/D$85</f>
        <v>0.39464102750914581</v>
      </c>
      <c r="E111">
        <f t="shared" si="25"/>
        <v>0.38047409588942321</v>
      </c>
      <c r="F111">
        <f t="shared" si="25"/>
        <v>0.35914747243586448</v>
      </c>
      <c r="G111">
        <f t="shared" si="25"/>
        <v>0.55181020054614316</v>
      </c>
      <c r="H111">
        <f t="shared" si="25"/>
        <v>0.4352894283599546</v>
      </c>
      <c r="I111">
        <f t="shared" si="25"/>
        <v>0.61547730710787119</v>
      </c>
      <c r="J111">
        <f t="shared" si="25"/>
        <v>0.49209278003416995</v>
      </c>
    </row>
    <row r="112" spans="3:10" x14ac:dyDescent="0.25">
      <c r="C112" s="14" t="s">
        <v>35</v>
      </c>
      <c r="D112">
        <f t="shared" ref="D112:J112" si="26">(D67-D$83)/D$85</f>
        <v>0.82815250365495152</v>
      </c>
      <c r="E112">
        <f t="shared" si="26"/>
        <v>0.78574600270977002</v>
      </c>
      <c r="F112">
        <f t="shared" si="26"/>
        <v>0.69631024199185143</v>
      </c>
      <c r="G112">
        <f t="shared" si="26"/>
        <v>0.71201640946480471</v>
      </c>
      <c r="H112">
        <f t="shared" si="26"/>
        <v>0.2927745657783048</v>
      </c>
      <c r="I112">
        <f t="shared" si="26"/>
        <v>0.46025957686097785</v>
      </c>
      <c r="J112">
        <f t="shared" si="26"/>
        <v>0.40675245003442589</v>
      </c>
    </row>
    <row r="113" spans="3:10" x14ac:dyDescent="0.25">
      <c r="C113" s="12" t="s">
        <v>36</v>
      </c>
      <c r="D113">
        <f t="shared" ref="D113:J113" si="27">(D68-D$83)/D$85</f>
        <v>0.37751573512278574</v>
      </c>
      <c r="E113">
        <f t="shared" si="27"/>
        <v>0.47392890079737071</v>
      </c>
      <c r="F113">
        <f t="shared" si="27"/>
        <v>0.32940897197257846</v>
      </c>
      <c r="G113">
        <f t="shared" si="27"/>
        <v>0.85805938783300262</v>
      </c>
      <c r="H113">
        <f t="shared" si="27"/>
        <v>0.41849014337783452</v>
      </c>
      <c r="I113">
        <f t="shared" si="27"/>
        <v>0.72496755572099847</v>
      </c>
      <c r="J113">
        <f t="shared" si="27"/>
        <v>0.41137348993642769</v>
      </c>
    </row>
    <row r="114" spans="3:10" x14ac:dyDescent="0.25">
      <c r="C114" s="14" t="s">
        <v>37</v>
      </c>
      <c r="D114">
        <f t="shared" ref="D114:J114" si="28">(D69-D$83)/D$85</f>
        <v>0.78500308963528853</v>
      </c>
      <c r="E114">
        <f t="shared" si="28"/>
        <v>0.16238125780387189</v>
      </c>
      <c r="F114">
        <f t="shared" si="28"/>
        <v>0.8089082128572308</v>
      </c>
      <c r="G114">
        <f t="shared" si="28"/>
        <v>0.64494607779395052</v>
      </c>
      <c r="H114">
        <f t="shared" si="28"/>
        <v>0.5066136338655971</v>
      </c>
      <c r="I114">
        <f t="shared" si="28"/>
        <v>0.79576001077138747</v>
      </c>
      <c r="J114">
        <f t="shared" si="28"/>
        <v>0.47806979221425905</v>
      </c>
    </row>
    <row r="115" spans="3:10" x14ac:dyDescent="0.25">
      <c r="C115" s="12" t="s">
        <v>38</v>
      </c>
      <c r="D115">
        <f t="shared" ref="D115:J115" si="29">(D70-D$83)/D$85</f>
        <v>0.51728788608056475</v>
      </c>
      <c r="E115">
        <f t="shared" si="29"/>
        <v>0</v>
      </c>
      <c r="F115">
        <f t="shared" si="29"/>
        <v>0.89745032451317663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0.95771823349143992</v>
      </c>
    </row>
    <row r="116" spans="3:10" x14ac:dyDescent="0.25">
      <c r="C116" s="14" t="s">
        <v>39</v>
      </c>
      <c r="D116">
        <f t="shared" ref="D116:J116" si="30">(D71-D$83)/D$85</f>
        <v>0.18500104461535324</v>
      </c>
      <c r="E116">
        <f t="shared" si="30"/>
        <v>0.44025222872887504</v>
      </c>
      <c r="F116">
        <f t="shared" si="30"/>
        <v>0.27644916771466271</v>
      </c>
      <c r="G116">
        <f t="shared" si="30"/>
        <v>0.62338768199531025</v>
      </c>
      <c r="H116">
        <f t="shared" si="30"/>
        <v>0.61396569656748445</v>
      </c>
      <c r="I116">
        <f t="shared" si="30"/>
        <v>0.61844849025200754</v>
      </c>
      <c r="J116">
        <f t="shared" si="30"/>
        <v>0.70504934672591857</v>
      </c>
    </row>
    <row r="117" spans="3:10" x14ac:dyDescent="0.25">
      <c r="C117" s="12" t="s">
        <v>41</v>
      </c>
      <c r="D117">
        <f t="shared" ref="D117:J117" si="31">(D72-D$83)/D$85</f>
        <v>0.25968215324752014</v>
      </c>
      <c r="E117">
        <f t="shared" si="31"/>
        <v>0.37394066590509739</v>
      </c>
      <c r="F117">
        <f t="shared" si="31"/>
        <v>0.35491592204560835</v>
      </c>
      <c r="G117">
        <f t="shared" si="31"/>
        <v>0.66917436734214486</v>
      </c>
      <c r="H117">
        <f t="shared" si="31"/>
        <v>0.61725912061016308</v>
      </c>
      <c r="I117">
        <f t="shared" si="31"/>
        <v>0.68268759695097314</v>
      </c>
      <c r="J117">
        <f t="shared" si="31"/>
        <v>0.67348399791527325</v>
      </c>
    </row>
    <row r="118" spans="3:10" x14ac:dyDescent="0.25">
      <c r="C118" s="14" t="s">
        <v>42</v>
      </c>
      <c r="D118">
        <f t="shared" ref="D118:J118" si="32">(D73-D$83)/D$85</f>
        <v>0.8968708278994536</v>
      </c>
      <c r="E118">
        <f t="shared" si="32"/>
        <v>1</v>
      </c>
      <c r="F118">
        <f t="shared" si="32"/>
        <v>0.671197080966215</v>
      </c>
      <c r="G118">
        <f t="shared" si="32"/>
        <v>0.84995742431805499</v>
      </c>
      <c r="H118">
        <f t="shared" si="32"/>
        <v>0.16287094465489815</v>
      </c>
      <c r="I118">
        <f t="shared" si="32"/>
        <v>0.40692536854098615</v>
      </c>
      <c r="J118">
        <f t="shared" si="32"/>
        <v>0.28022252834613803</v>
      </c>
    </row>
    <row r="119" spans="3:10" x14ac:dyDescent="0.25">
      <c r="C119" s="12" t="s">
        <v>43</v>
      </c>
      <c r="D119">
        <f t="shared" ref="D119:J119" si="33">(D74-D$83)/D$85</f>
        <v>0.59607361682688254</v>
      </c>
      <c r="E119">
        <f t="shared" si="33"/>
        <v>0.73928141758162536</v>
      </c>
      <c r="F119">
        <f t="shared" si="33"/>
        <v>0.63409856731604097</v>
      </c>
      <c r="G119">
        <f t="shared" si="33"/>
        <v>0.20054404590623287</v>
      </c>
      <c r="H119">
        <f t="shared" si="33"/>
        <v>0.53065220568248772</v>
      </c>
      <c r="I119">
        <f t="shared" si="33"/>
        <v>0.21203906211990414</v>
      </c>
      <c r="J119">
        <f t="shared" si="33"/>
        <v>0.82970902887227027</v>
      </c>
    </row>
    <row r="120" spans="3:10" x14ac:dyDescent="0.25">
      <c r="C120" s="14" t="s">
        <v>44</v>
      </c>
      <c r="D120">
        <f t="shared" ref="D120:J120" si="34">(D75-D$83)/D$85</f>
        <v>1</v>
      </c>
      <c r="E120">
        <f t="shared" si="34"/>
        <v>0.74389447836928024</v>
      </c>
      <c r="F120">
        <f t="shared" si="34"/>
        <v>0.67963815159807472</v>
      </c>
      <c r="G120">
        <f t="shared" si="34"/>
        <v>0.67099903942550088</v>
      </c>
      <c r="H120">
        <f t="shared" si="34"/>
        <v>3.0931913120892364E-2</v>
      </c>
      <c r="I120">
        <f t="shared" si="34"/>
        <v>0.46308593462718217</v>
      </c>
      <c r="J120">
        <f t="shared" si="34"/>
        <v>9.0702994192107103E-2</v>
      </c>
    </row>
    <row r="121" spans="3:10" x14ac:dyDescent="0.25">
      <c r="C121" s="12" t="s">
        <v>45</v>
      </c>
      <c r="D121">
        <f t="shared" ref="D121:J121" si="35">(D76-D$83)/D$85</f>
        <v>6.9783340190100795E-2</v>
      </c>
      <c r="E121">
        <f t="shared" si="35"/>
        <v>0.53085304621410223</v>
      </c>
      <c r="F121">
        <f t="shared" si="35"/>
        <v>0.15243870405802815</v>
      </c>
      <c r="G121">
        <f t="shared" si="35"/>
        <v>0.505524352031678</v>
      </c>
      <c r="H121">
        <f t="shared" si="35"/>
        <v>0.60485174029845667</v>
      </c>
      <c r="I121">
        <f t="shared" si="35"/>
        <v>0.50084349468162748</v>
      </c>
      <c r="J121">
        <f t="shared" si="35"/>
        <v>0.75913252592545144</v>
      </c>
    </row>
    <row r="122" spans="3:10" x14ac:dyDescent="0.25">
      <c r="C122" s="14" t="s">
        <v>46</v>
      </c>
      <c r="D122">
        <f t="shared" ref="D122:J122" si="36">(D77-D$83)/D$85</f>
        <v>0.5413730941081687</v>
      </c>
      <c r="E122">
        <f t="shared" si="36"/>
        <v>0.27272278749558815</v>
      </c>
      <c r="F122">
        <f t="shared" si="36"/>
        <v>0.44773253636105248</v>
      </c>
      <c r="G122">
        <f t="shared" si="36"/>
        <v>0.54329506415714834</v>
      </c>
      <c r="H122">
        <f t="shared" si="36"/>
        <v>0.35216989014155353</v>
      </c>
      <c r="I122">
        <f t="shared" si="36"/>
        <v>0.67513065398841166</v>
      </c>
      <c r="J122">
        <f t="shared" si="36"/>
        <v>0.35927666478380343</v>
      </c>
    </row>
    <row r="123" spans="3:10" x14ac:dyDescent="0.25">
      <c r="C123" s="12" t="s">
        <v>47</v>
      </c>
      <c r="D123">
        <f t="shared" ref="D123:J123" si="37">(D78-D$83)/D$85</f>
        <v>0.94646659620098217</v>
      </c>
      <c r="E123">
        <f t="shared" si="37"/>
        <v>0.80552656447468807</v>
      </c>
      <c r="F123">
        <f t="shared" si="37"/>
        <v>0.60247552128723725</v>
      </c>
      <c r="G123">
        <f t="shared" si="37"/>
        <v>0.32818090679910572</v>
      </c>
      <c r="H123">
        <f t="shared" si="37"/>
        <v>0</v>
      </c>
      <c r="I123">
        <f t="shared" si="37"/>
        <v>0.24139675025429297</v>
      </c>
      <c r="J123">
        <f t="shared" si="37"/>
        <v>0.17613487731663624</v>
      </c>
    </row>
    <row r="124" spans="3:10" x14ac:dyDescent="0.25">
      <c r="C124" s="14" t="s">
        <v>48</v>
      </c>
      <c r="D124">
        <f t="shared" ref="D124:J124" si="38">(D79-D$83)/D$85</f>
        <v>0.41666262423307537</v>
      </c>
      <c r="E124">
        <f t="shared" si="38"/>
        <v>0.32792960670383431</v>
      </c>
      <c r="F124">
        <f t="shared" si="38"/>
        <v>0.69752000059410857</v>
      </c>
      <c r="G124">
        <f t="shared" si="38"/>
        <v>0.52877528848694832</v>
      </c>
      <c r="H124">
        <f t="shared" si="38"/>
        <v>0.86687747978586271</v>
      </c>
      <c r="I124">
        <f t="shared" si="38"/>
        <v>0.63438041327279338</v>
      </c>
      <c r="J124">
        <f t="shared" si="38"/>
        <v>1</v>
      </c>
    </row>
    <row r="125" spans="3:10" x14ac:dyDescent="0.25">
      <c r="C125" s="12" t="s">
        <v>49</v>
      </c>
      <c r="D125">
        <f t="shared" ref="D125:J125" si="39">(D80-D$83)/D$85</f>
        <v>0.28543093002439873</v>
      </c>
      <c r="E125">
        <f t="shared" si="39"/>
        <v>0.21144555221999994</v>
      </c>
      <c r="F125">
        <f t="shared" si="39"/>
        <v>0.49907944416312716</v>
      </c>
      <c r="G125">
        <f t="shared" si="39"/>
        <v>0.71105164031728307</v>
      </c>
      <c r="H125">
        <f t="shared" si="39"/>
        <v>0.77836861267623891</v>
      </c>
      <c r="I125">
        <f t="shared" si="39"/>
        <v>0.80216740229661365</v>
      </c>
      <c r="J125">
        <f t="shared" si="39"/>
        <v>0.80091867813101969</v>
      </c>
    </row>
    <row r="126" spans="3:10" x14ac:dyDescent="0.25">
      <c r="C126" s="14" t="s">
        <v>51</v>
      </c>
      <c r="D126">
        <f t="shared" ref="D126:J126" si="40">(D81-D$83)/D$85</f>
        <v>0.59151836047369299</v>
      </c>
      <c r="E126">
        <f t="shared" si="40"/>
        <v>0.65492369758359881</v>
      </c>
      <c r="F126">
        <f t="shared" si="40"/>
        <v>0.75192261961293894</v>
      </c>
      <c r="G126">
        <f t="shared" si="40"/>
        <v>0.5089199199661073</v>
      </c>
      <c r="H126">
        <f t="shared" si="40"/>
        <v>0.69793936166650328</v>
      </c>
      <c r="I126">
        <f t="shared" si="40"/>
        <v>0.42869782750618624</v>
      </c>
      <c r="J126">
        <f t="shared" si="40"/>
        <v>0.91082843739198183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D825-0859-473D-A8C8-256A96898DBB}">
  <sheetPr codeName="Sheet3"/>
  <dimension ref="A1:K126"/>
  <sheetViews>
    <sheetView tabSelected="1" topLeftCell="A69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0.8989367400056606</v>
      </c>
      <c r="E2">
        <v>3.7859999999999999E-3</v>
      </c>
      <c r="F2">
        <v>0.75700118527272808</v>
      </c>
      <c r="G2">
        <v>1.5772999999999999E-2</v>
      </c>
      <c r="H2">
        <v>-0.14193555473293251</v>
      </c>
      <c r="I2">
        <v>1.1986999999999999E-2</v>
      </c>
      <c r="J2">
        <v>-0.15392255473293251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0.95116372582987041</v>
      </c>
      <c r="E3">
        <v>4.3747000000000001E-2</v>
      </c>
      <c r="F3">
        <v>0.6037382069809285</v>
      </c>
      <c r="G3">
        <v>3.9851999999999999E-2</v>
      </c>
      <c r="H3">
        <v>-0.34742551884894191</v>
      </c>
      <c r="I3">
        <v>-3.8950000000000026E-3</v>
      </c>
      <c r="J3">
        <v>-0.34353051884894192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1.1203461467947595</v>
      </c>
      <c r="E4">
        <v>9.6906000000000006E-2</v>
      </c>
      <c r="F4">
        <v>0.63716834653938359</v>
      </c>
      <c r="G4">
        <v>1.2330000000000001E-2</v>
      </c>
      <c r="H4">
        <v>-0.48317780025537593</v>
      </c>
      <c r="I4">
        <v>-8.4576000000000012E-2</v>
      </c>
      <c r="J4">
        <v>-0.39860180025537595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1.9279094367122824</v>
      </c>
      <c r="E5">
        <v>5.4903E-2</v>
      </c>
      <c r="F5">
        <v>1.3436543658477531</v>
      </c>
      <c r="G5">
        <v>-0.12700900000000001</v>
      </c>
      <c r="H5">
        <v>-0.58425507086452932</v>
      </c>
      <c r="I5">
        <v>-0.18191200000000002</v>
      </c>
      <c r="J5">
        <v>-0.40234307086452931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1.2829066979597377</v>
      </c>
      <c r="E6">
        <v>4.6280000000000002E-2</v>
      </c>
      <c r="F6">
        <v>0.95858006524287376</v>
      </c>
      <c r="G6">
        <v>-5.0600000000000005E-4</v>
      </c>
      <c r="H6">
        <v>-0.32432663271686391</v>
      </c>
      <c r="I6">
        <v>-4.6786000000000001E-2</v>
      </c>
      <c r="J6">
        <v>-0.27754063271686391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1.0929737406144893</v>
      </c>
      <c r="E7">
        <v>0.175566</v>
      </c>
      <c r="F7">
        <v>0.79571375096410391</v>
      </c>
      <c r="G7">
        <v>3.6249999999999998E-2</v>
      </c>
      <c r="H7">
        <v>-0.29725998965038536</v>
      </c>
      <c r="I7">
        <v>-0.139316</v>
      </c>
      <c r="J7">
        <v>-0.15794398965038536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1.2809051781825611</v>
      </c>
      <c r="E8">
        <v>0.13925399999999999</v>
      </c>
      <c r="F8">
        <v>1.0334799747864736</v>
      </c>
      <c r="G8">
        <v>0.217226</v>
      </c>
      <c r="H8">
        <v>-0.24742520339608753</v>
      </c>
      <c r="I8">
        <v>7.7972000000000014E-2</v>
      </c>
      <c r="J8">
        <v>-0.32539720339608758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1.6046723713101942</v>
      </c>
      <c r="E9">
        <v>0.19956699999999999</v>
      </c>
      <c r="F9">
        <v>1.0249928396999988</v>
      </c>
      <c r="G9">
        <v>-0.25957200000000002</v>
      </c>
      <c r="H9">
        <v>-0.57967953161019548</v>
      </c>
      <c r="I9">
        <v>-0.45913900000000002</v>
      </c>
      <c r="J9">
        <v>-0.12054053161019546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1.2418584068405802</v>
      </c>
      <c r="E10">
        <v>3.1259000000000002E-2</v>
      </c>
      <c r="F10">
        <v>0.69591740617573983</v>
      </c>
      <c r="G10">
        <v>7.2361999999999996E-2</v>
      </c>
      <c r="H10">
        <v>-0.54594100066484041</v>
      </c>
      <c r="I10">
        <v>4.1102999999999994E-2</v>
      </c>
      <c r="J10">
        <v>-0.58704400066484042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1.0498423597491937</v>
      </c>
      <c r="E11">
        <v>0.175673</v>
      </c>
      <c r="F11">
        <v>0.65012263559572747</v>
      </c>
      <c r="G11">
        <v>0.165189</v>
      </c>
      <c r="H11">
        <v>-0.39971972415346624</v>
      </c>
      <c r="I11">
        <v>-1.0483999999999993E-2</v>
      </c>
      <c r="J11">
        <v>-0.38923572415346624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1.3196973957922964</v>
      </c>
      <c r="E12">
        <v>-1.5774E-2</v>
      </c>
      <c r="F12">
        <v>0.98936461230832429</v>
      </c>
      <c r="G12">
        <v>0.135711</v>
      </c>
      <c r="H12">
        <v>-0.3303327834839721</v>
      </c>
      <c r="I12">
        <v>0.15148500000000001</v>
      </c>
      <c r="J12">
        <v>-0.48181778348397208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1.279331721207277</v>
      </c>
      <c r="E13">
        <v>-2.6273999999999999E-2</v>
      </c>
      <c r="F13">
        <v>1.0572507256230494</v>
      </c>
      <c r="G13">
        <v>-0.16467399999999999</v>
      </c>
      <c r="H13">
        <v>-0.22208099558422756</v>
      </c>
      <c r="I13">
        <v>-0.1384</v>
      </c>
      <c r="J13">
        <v>-8.3680995584227563E-2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1.0044135633809437</v>
      </c>
      <c r="E14">
        <v>8.8932999999999998E-2</v>
      </c>
      <c r="F14">
        <v>0.69218083604078173</v>
      </c>
      <c r="G14">
        <v>-5.9866999999999997E-2</v>
      </c>
      <c r="H14">
        <v>-0.31223272734016194</v>
      </c>
      <c r="I14">
        <v>-0.14879999999999999</v>
      </c>
      <c r="J14">
        <v>-0.16343272734016195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1.6475090717567826</v>
      </c>
      <c r="E15">
        <v>0.16705999999999999</v>
      </c>
      <c r="F15">
        <v>0.91619753973542839</v>
      </c>
      <c r="G15">
        <v>6.4032000000000006E-2</v>
      </c>
      <c r="H15">
        <v>-0.73131153202135424</v>
      </c>
      <c r="I15">
        <v>-0.10302799999999998</v>
      </c>
      <c r="J15">
        <v>-0.62828353202135423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0.90317783118167805</v>
      </c>
      <c r="E16">
        <v>2.3885E-2</v>
      </c>
      <c r="F16">
        <v>0.79898543154765655</v>
      </c>
      <c r="G16">
        <v>1.4027E-2</v>
      </c>
      <c r="H16">
        <v>-0.10419239963402151</v>
      </c>
      <c r="I16">
        <v>-9.8580000000000004E-3</v>
      </c>
      <c r="J16">
        <v>-9.4334399634021487E-2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1.6491299035644675</v>
      </c>
      <c r="E17">
        <v>-4.7580000000000001E-3</v>
      </c>
      <c r="F17">
        <v>1.0947656754399109</v>
      </c>
      <c r="G17">
        <v>2.1163999999999999E-2</v>
      </c>
      <c r="H17">
        <v>-0.55436422812455666</v>
      </c>
      <c r="I17">
        <v>2.5922000000000001E-2</v>
      </c>
      <c r="J17">
        <v>-0.58028622812455666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1.5086522605370765</v>
      </c>
      <c r="E18">
        <v>3.1260000000000003E-2</v>
      </c>
      <c r="F18">
        <v>1.0342225433578676</v>
      </c>
      <c r="G18">
        <v>-2.2945E-2</v>
      </c>
      <c r="H18">
        <v>-0.4744297171792089</v>
      </c>
      <c r="I18">
        <v>-5.4205000000000003E-2</v>
      </c>
      <c r="J18">
        <v>-0.4202247171792089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1.6460644686689976</v>
      </c>
      <c r="E19">
        <v>0.313056</v>
      </c>
      <c r="F19">
        <v>1.0157286383311381</v>
      </c>
      <c r="G19">
        <v>-0.25945200000000002</v>
      </c>
      <c r="H19">
        <v>-0.63033583033785945</v>
      </c>
      <c r="I19">
        <v>-0.57250800000000002</v>
      </c>
      <c r="J19">
        <v>-5.7827830337859432E-2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1.4494014797453727</v>
      </c>
      <c r="E20">
        <v>9.4149999999999998E-2</v>
      </c>
      <c r="F20">
        <v>1.1366614358892106</v>
      </c>
      <c r="G20">
        <v>7.3126999999999998E-2</v>
      </c>
      <c r="H20">
        <v>-0.31274004385616205</v>
      </c>
      <c r="I20">
        <v>-2.1023E-2</v>
      </c>
      <c r="J20">
        <v>-0.29171704385616204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1.2381584724711261</v>
      </c>
      <c r="E21">
        <v>1.6372000000000001E-2</v>
      </c>
      <c r="F21">
        <v>0.6825847666765843</v>
      </c>
      <c r="G21">
        <v>0.111161</v>
      </c>
      <c r="H21">
        <v>-0.55557370579454179</v>
      </c>
      <c r="I21">
        <v>9.4788999999999998E-2</v>
      </c>
      <c r="J21">
        <v>-0.65036270579454181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1.660358170457962</v>
      </c>
      <c r="E22">
        <v>0.33707300000000001</v>
      </c>
      <c r="F22">
        <v>1.0165812173496889</v>
      </c>
      <c r="G22">
        <v>3.6685000000000002E-2</v>
      </c>
      <c r="H22">
        <v>-0.6437769531082731</v>
      </c>
      <c r="I22">
        <v>-0.30038799999999999</v>
      </c>
      <c r="J22">
        <v>-0.34338895310827311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1.5485835591806878</v>
      </c>
      <c r="E23">
        <v>0.2712</v>
      </c>
      <c r="F23">
        <v>1.0890694226182536</v>
      </c>
      <c r="G23">
        <v>9.7201999999999997E-2</v>
      </c>
      <c r="H23">
        <v>-0.45951413656243423</v>
      </c>
      <c r="I23">
        <v>-0.17399799999999999</v>
      </c>
      <c r="J23">
        <v>-0.28551613656243424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0.43294005685806181</v>
      </c>
      <c r="E24">
        <v>3.2065000000000003E-2</v>
      </c>
      <c r="F24">
        <v>0.76659422598983029</v>
      </c>
      <c r="G24">
        <v>3.5300000000000002E-3</v>
      </c>
      <c r="H24">
        <v>0.33365416913176849</v>
      </c>
      <c r="I24">
        <v>-2.8535000000000005E-2</v>
      </c>
      <c r="J24">
        <v>0.36218916913176846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1.3812296759846003</v>
      </c>
      <c r="E25">
        <v>0.24563599999999999</v>
      </c>
      <c r="F25">
        <v>1.0276348053512281</v>
      </c>
      <c r="G25">
        <v>7.9916000000000001E-2</v>
      </c>
      <c r="H25">
        <v>-0.35359487063337225</v>
      </c>
      <c r="I25">
        <v>-0.16571999999999998</v>
      </c>
      <c r="J25">
        <v>-0.18787487063337227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1.1823699715278022</v>
      </c>
      <c r="E26">
        <v>8.1313999999999997E-2</v>
      </c>
      <c r="F26">
        <v>0.8967950177770545</v>
      </c>
      <c r="G26">
        <v>0.14954899999999999</v>
      </c>
      <c r="H26">
        <v>-0.28557495375074771</v>
      </c>
      <c r="I26">
        <v>6.823499999999999E-2</v>
      </c>
      <c r="J26">
        <v>-0.3538099537507477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0.91393944079126843</v>
      </c>
      <c r="E27">
        <v>-8.2865999999999995E-2</v>
      </c>
      <c r="F27">
        <v>0.8838845520222316</v>
      </c>
      <c r="G27">
        <v>4.7937E-2</v>
      </c>
      <c r="H27">
        <v>-3.0054888769036836E-2</v>
      </c>
      <c r="I27">
        <v>0.130803</v>
      </c>
      <c r="J27">
        <v>-0.16085788876903684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0.27537620445225758</v>
      </c>
      <c r="E28">
        <v>-0.168438</v>
      </c>
      <c r="F28">
        <v>1.0568579235105313</v>
      </c>
      <c r="G28">
        <v>0.142877</v>
      </c>
      <c r="H28">
        <v>0.78148171905827368</v>
      </c>
      <c r="I28">
        <v>0.31131500000000001</v>
      </c>
      <c r="J28">
        <v>0.47016671905827367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1.3444521624848569</v>
      </c>
      <c r="E29">
        <v>6.3566999999999999E-2</v>
      </c>
      <c r="F29">
        <v>0.94257433002100866</v>
      </c>
      <c r="G29">
        <v>3.7657999999999997E-2</v>
      </c>
      <c r="H29">
        <v>-0.40187783246384823</v>
      </c>
      <c r="I29">
        <v>-2.5909000000000001E-2</v>
      </c>
      <c r="J29">
        <v>-0.37596883246384821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1.3846206148740894</v>
      </c>
      <c r="E30">
        <v>0.81220199999999998</v>
      </c>
      <c r="F30">
        <v>1.1145800859539874</v>
      </c>
      <c r="G30">
        <v>0.70438599999999996</v>
      </c>
      <c r="H30">
        <v>-0.270040528920102</v>
      </c>
      <c r="I30">
        <v>-0.10781600000000002</v>
      </c>
      <c r="J30">
        <v>-0.16222452892010197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1.5718918925535366</v>
      </c>
      <c r="E31">
        <v>2.8622000000000002E-2</v>
      </c>
      <c r="F31">
        <v>1.078330885841059</v>
      </c>
      <c r="G31">
        <v>5.9489E-2</v>
      </c>
      <c r="H31">
        <v>-0.4935610067124776</v>
      </c>
      <c r="I31">
        <v>3.0866999999999999E-2</v>
      </c>
      <c r="J31">
        <v>-0.52442800671247758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1.77778418340286</v>
      </c>
      <c r="E32">
        <v>0.35854399999999997</v>
      </c>
      <c r="F32">
        <v>1.0845884380827346</v>
      </c>
      <c r="G32">
        <v>0.14568600000000001</v>
      </c>
      <c r="H32">
        <v>-0.6931957453201254</v>
      </c>
      <c r="I32">
        <v>-0.21285799999999996</v>
      </c>
      <c r="J32">
        <v>-0.48033774532012541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1.7530831843631169</v>
      </c>
      <c r="E33">
        <v>0.22115000000000001</v>
      </c>
      <c r="F33">
        <v>0.93107028152317595</v>
      </c>
      <c r="G33">
        <v>-0.16395299999999999</v>
      </c>
      <c r="H33">
        <v>-0.822012902839941</v>
      </c>
      <c r="I33">
        <v>-0.38510299999999997</v>
      </c>
      <c r="J33">
        <v>-0.43690990283994102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1.6608359661035386</v>
      </c>
      <c r="E34">
        <v>0.223581</v>
      </c>
      <c r="F34">
        <v>1.0784434190600647</v>
      </c>
      <c r="G34">
        <v>6.0359000000000003E-2</v>
      </c>
      <c r="H34">
        <v>-0.58239254704347387</v>
      </c>
      <c r="I34">
        <v>-0.16322200000000001</v>
      </c>
      <c r="J34">
        <v>-0.4191705470434739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1.1701882983722445</v>
      </c>
      <c r="E35">
        <v>0.11131199999999999</v>
      </c>
      <c r="F35">
        <v>0.96447456427904588</v>
      </c>
      <c r="G35">
        <v>-1.8539E-2</v>
      </c>
      <c r="H35">
        <v>-0.2057137340931986</v>
      </c>
      <c r="I35">
        <v>-0.12985099999999999</v>
      </c>
      <c r="J35">
        <v>-7.5862734093198603E-2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1.134100710724252</v>
      </c>
      <c r="E36">
        <v>-2.4718E-2</v>
      </c>
      <c r="F36">
        <v>0.96506840780851766</v>
      </c>
      <c r="G36">
        <v>-5.2999999999999998E-4</v>
      </c>
      <c r="H36">
        <v>-0.16903230291573434</v>
      </c>
      <c r="I36">
        <v>2.4188000000000001E-2</v>
      </c>
      <c r="J36">
        <v>-0.19322030291573433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1.9702905923457812</v>
      </c>
      <c r="E37">
        <v>0.25606000000000001</v>
      </c>
      <c r="F37">
        <v>1.160804854360747</v>
      </c>
      <c r="G37">
        <v>-0.10309599999999999</v>
      </c>
      <c r="H37">
        <v>-0.8094857379850342</v>
      </c>
      <c r="I37">
        <v>-0.35915600000000003</v>
      </c>
      <c r="J37">
        <v>-0.45032973798503417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1.0373626561867706</v>
      </c>
      <c r="E38">
        <v>4.3750000000000004E-3</v>
      </c>
      <c r="F38">
        <v>0.83862264376990081</v>
      </c>
      <c r="G38">
        <v>-7.4530000000000004E-3</v>
      </c>
      <c r="H38">
        <v>-0.19874001241686978</v>
      </c>
      <c r="I38">
        <v>-1.1828000000000002E-2</v>
      </c>
      <c r="J38">
        <v>-0.18691201241686978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1.5057454147001226</v>
      </c>
      <c r="E39">
        <v>-5.7009999999999998E-2</v>
      </c>
      <c r="F39">
        <v>0.94752248822712148</v>
      </c>
      <c r="G39">
        <v>7.9455999999999999E-2</v>
      </c>
      <c r="H39">
        <v>-0.55822292647300109</v>
      </c>
      <c r="I39">
        <v>0.136466</v>
      </c>
      <c r="J39">
        <v>-0.69468892647300107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0.99991312944267396</v>
      </c>
      <c r="G40">
        <v>0.99823200000000001</v>
      </c>
      <c r="H40">
        <v>-1.000086870557326</v>
      </c>
      <c r="I40">
        <v>-8.2908999999999899E-2</v>
      </c>
      <c r="J40">
        <v>-0.91717787055732614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1.3189237903805708</v>
      </c>
      <c r="E41">
        <v>0.17669499999999999</v>
      </c>
      <c r="F41">
        <v>1.0162459105771144</v>
      </c>
      <c r="G41">
        <v>-1.6920000000000001E-2</v>
      </c>
      <c r="H41">
        <v>-0.3026778798034564</v>
      </c>
      <c r="I41">
        <v>-0.19361499999999998</v>
      </c>
      <c r="J41">
        <v>-0.10906287980345641</v>
      </c>
      <c r="K41" t="b">
        <v>1</v>
      </c>
    </row>
    <row r="44" spans="1:11" x14ac:dyDescent="0.25">
      <c r="A44" s="12" t="s">
        <v>11</v>
      </c>
      <c r="B44" s="13" t="s">
        <v>12</v>
      </c>
      <c r="C44" s="2">
        <v>3828</v>
      </c>
      <c r="D44" s="2">
        <v>0.8989367400056606</v>
      </c>
      <c r="E44" s="2">
        <v>3.7859999999999999E-3</v>
      </c>
      <c r="F44" s="2">
        <v>0.75700118527272808</v>
      </c>
      <c r="G44" s="2">
        <v>1.5772999999999999E-2</v>
      </c>
      <c r="H44" s="2">
        <v>-0.14193555473293251</v>
      </c>
      <c r="I44" s="2">
        <v>1.1986999999999999E-2</v>
      </c>
      <c r="J44" s="2">
        <v>-0.15392255473293251</v>
      </c>
      <c r="K44" s="3" t="b">
        <v>1</v>
      </c>
    </row>
    <row r="45" spans="1:11" x14ac:dyDescent="0.25">
      <c r="A45" s="14" t="s">
        <v>13</v>
      </c>
      <c r="B45" s="15" t="s">
        <v>12</v>
      </c>
      <c r="C45" s="4">
        <v>3828</v>
      </c>
      <c r="D45" s="4">
        <v>0.95116372582987041</v>
      </c>
      <c r="E45" s="4">
        <v>4.3747000000000001E-2</v>
      </c>
      <c r="F45" s="4">
        <v>0.6037382069809285</v>
      </c>
      <c r="G45" s="4">
        <v>3.9851999999999999E-2</v>
      </c>
      <c r="H45" s="4">
        <v>-0.34742551884894191</v>
      </c>
      <c r="I45" s="4">
        <v>-3.8950000000000026E-3</v>
      </c>
      <c r="J45" s="4">
        <v>-0.34353051884894192</v>
      </c>
      <c r="K45" s="5" t="b">
        <v>1</v>
      </c>
    </row>
    <row r="46" spans="1:11" x14ac:dyDescent="0.25">
      <c r="A46" s="12" t="s">
        <v>14</v>
      </c>
      <c r="B46" s="13" t="s">
        <v>12</v>
      </c>
      <c r="C46" s="2">
        <v>3828</v>
      </c>
      <c r="D46" s="2">
        <v>1.1203461467947595</v>
      </c>
      <c r="E46" s="2">
        <v>9.6906000000000006E-2</v>
      </c>
      <c r="F46" s="2">
        <v>0.63716834653938359</v>
      </c>
      <c r="G46" s="2">
        <v>1.2330000000000001E-2</v>
      </c>
      <c r="H46" s="2">
        <v>-0.48317780025537593</v>
      </c>
      <c r="I46" s="2">
        <v>-8.4576000000000012E-2</v>
      </c>
      <c r="J46" s="2">
        <v>-0.39860180025537595</v>
      </c>
      <c r="K46" s="3" t="b">
        <v>1</v>
      </c>
    </row>
    <row r="47" spans="1:11" x14ac:dyDescent="0.25">
      <c r="A47" s="14" t="s">
        <v>15</v>
      </c>
      <c r="B47" s="15" t="s">
        <v>12</v>
      </c>
      <c r="C47" s="4">
        <v>3828</v>
      </c>
      <c r="D47" s="4">
        <v>1.9279094367122824</v>
      </c>
      <c r="E47" s="4">
        <v>5.4903E-2</v>
      </c>
      <c r="F47" s="4">
        <v>1.3436543658477531</v>
      </c>
      <c r="G47" s="4">
        <v>-0.12700900000000001</v>
      </c>
      <c r="H47" s="4">
        <v>-0.58425507086452932</v>
      </c>
      <c r="I47" s="4">
        <v>-0.18191200000000002</v>
      </c>
      <c r="J47" s="4">
        <v>-0.40234307086452931</v>
      </c>
      <c r="K47" s="5" t="b">
        <v>1</v>
      </c>
    </row>
    <row r="48" spans="1:11" x14ac:dyDescent="0.25">
      <c r="A48" s="12" t="s">
        <v>16</v>
      </c>
      <c r="B48" s="13" t="s">
        <v>12</v>
      </c>
      <c r="C48" s="2">
        <v>3828</v>
      </c>
      <c r="D48" s="2">
        <v>1.2829066979597377</v>
      </c>
      <c r="E48" s="2">
        <v>4.6280000000000002E-2</v>
      </c>
      <c r="F48" s="2">
        <v>0.95858006524287376</v>
      </c>
      <c r="G48" s="2">
        <v>-5.0600000000000005E-4</v>
      </c>
      <c r="H48" s="2">
        <v>-0.32432663271686391</v>
      </c>
      <c r="I48" s="2">
        <v>-4.6786000000000001E-2</v>
      </c>
      <c r="J48" s="2">
        <v>-0.27754063271686391</v>
      </c>
      <c r="K48" s="3" t="b">
        <v>1</v>
      </c>
    </row>
    <row r="49" spans="1:11" x14ac:dyDescent="0.25">
      <c r="A49" s="14" t="s">
        <v>17</v>
      </c>
      <c r="B49" s="15" t="s">
        <v>12</v>
      </c>
      <c r="C49" s="4">
        <v>3828</v>
      </c>
      <c r="D49" s="4">
        <v>1.0929737406144893</v>
      </c>
      <c r="E49" s="4">
        <v>0.175566</v>
      </c>
      <c r="F49" s="4">
        <v>0.79571375096410391</v>
      </c>
      <c r="G49" s="4">
        <v>3.6249999999999998E-2</v>
      </c>
      <c r="H49" s="4">
        <v>-0.29725998965038536</v>
      </c>
      <c r="I49" s="4">
        <v>-0.139316</v>
      </c>
      <c r="J49" s="4">
        <v>-0.15794398965038536</v>
      </c>
      <c r="K49" s="5" t="b">
        <v>1</v>
      </c>
    </row>
    <row r="50" spans="1:11" x14ac:dyDescent="0.25">
      <c r="A50" s="12" t="s">
        <v>18</v>
      </c>
      <c r="B50" s="13" t="s">
        <v>12</v>
      </c>
      <c r="C50" s="2">
        <v>3828</v>
      </c>
      <c r="D50" s="2">
        <v>1.2809051781825611</v>
      </c>
      <c r="E50" s="2">
        <v>0.13925399999999999</v>
      </c>
      <c r="F50" s="2">
        <v>1.0334799747864736</v>
      </c>
      <c r="G50" s="2">
        <v>0.217226</v>
      </c>
      <c r="H50" s="2">
        <v>-0.24742520339608753</v>
      </c>
      <c r="I50" s="2">
        <v>7.7972000000000014E-2</v>
      </c>
      <c r="J50" s="2">
        <v>-0.32539720339608758</v>
      </c>
      <c r="K50" s="3" t="b">
        <v>1</v>
      </c>
    </row>
    <row r="51" spans="1:11" x14ac:dyDescent="0.25">
      <c r="A51" s="14" t="s">
        <v>19</v>
      </c>
      <c r="B51" s="15" t="s">
        <v>12</v>
      </c>
      <c r="C51" s="4">
        <v>3828</v>
      </c>
      <c r="D51" s="4">
        <v>1.6046723713101942</v>
      </c>
      <c r="E51" s="4">
        <v>0.19956699999999999</v>
      </c>
      <c r="F51" s="4">
        <v>1.0249928396999988</v>
      </c>
      <c r="G51" s="4">
        <v>-0.25957200000000002</v>
      </c>
      <c r="H51" s="4">
        <v>-0.57967953161019548</v>
      </c>
      <c r="I51" s="4">
        <v>-0.45913900000000002</v>
      </c>
      <c r="J51" s="4">
        <v>-0.12054053161019546</v>
      </c>
      <c r="K51" s="5" t="b">
        <v>1</v>
      </c>
    </row>
    <row r="52" spans="1:11" x14ac:dyDescent="0.25">
      <c r="A52" s="12" t="s">
        <v>20</v>
      </c>
      <c r="B52" s="13" t="s">
        <v>12</v>
      </c>
      <c r="C52" s="2">
        <v>3828</v>
      </c>
      <c r="D52" s="2">
        <v>1.2418584068405802</v>
      </c>
      <c r="E52" s="2">
        <v>3.1259000000000002E-2</v>
      </c>
      <c r="F52" s="2">
        <v>0.69591740617573983</v>
      </c>
      <c r="G52" s="2">
        <v>7.2361999999999996E-2</v>
      </c>
      <c r="H52" s="2">
        <v>-0.54594100066484041</v>
      </c>
      <c r="I52" s="2">
        <v>4.1102999999999994E-2</v>
      </c>
      <c r="J52" s="2">
        <v>-0.58704400066484042</v>
      </c>
      <c r="K52" s="3" t="b">
        <v>1</v>
      </c>
    </row>
    <row r="53" spans="1:11" x14ac:dyDescent="0.25">
      <c r="A53" s="14" t="s">
        <v>21</v>
      </c>
      <c r="B53" s="15" t="s">
        <v>12</v>
      </c>
      <c r="C53" s="4">
        <v>3828</v>
      </c>
      <c r="D53" s="4">
        <v>1.0498423597491937</v>
      </c>
      <c r="E53" s="4">
        <v>0.175673</v>
      </c>
      <c r="F53" s="4">
        <v>0.65012263559572747</v>
      </c>
      <c r="G53" s="4">
        <v>0.165189</v>
      </c>
      <c r="H53" s="4">
        <v>-0.39971972415346624</v>
      </c>
      <c r="I53" s="4">
        <v>-1.0483999999999993E-2</v>
      </c>
      <c r="J53" s="4">
        <v>-0.38923572415346624</v>
      </c>
      <c r="K53" s="5" t="b">
        <v>1</v>
      </c>
    </row>
    <row r="54" spans="1:11" x14ac:dyDescent="0.25">
      <c r="A54" s="12" t="s">
        <v>22</v>
      </c>
      <c r="B54" s="13" t="s">
        <v>12</v>
      </c>
      <c r="C54" s="2">
        <v>3828</v>
      </c>
      <c r="D54" s="2">
        <v>1.3196973957922964</v>
      </c>
      <c r="E54" s="2">
        <v>-1.5774E-2</v>
      </c>
      <c r="F54" s="2">
        <v>0.98936461230832429</v>
      </c>
      <c r="G54" s="2">
        <v>0.135711</v>
      </c>
      <c r="H54" s="2">
        <v>-0.3303327834839721</v>
      </c>
      <c r="I54" s="2">
        <v>0.15148500000000001</v>
      </c>
      <c r="J54" s="2">
        <v>-0.48181778348397208</v>
      </c>
      <c r="K54" s="3" t="b">
        <v>1</v>
      </c>
    </row>
    <row r="55" spans="1:11" x14ac:dyDescent="0.25">
      <c r="A55" s="14" t="s">
        <v>23</v>
      </c>
      <c r="B55" s="15" t="s">
        <v>12</v>
      </c>
      <c r="C55" s="4">
        <v>3828</v>
      </c>
      <c r="D55" s="4">
        <v>1.279331721207277</v>
      </c>
      <c r="E55" s="4">
        <v>-2.6273999999999999E-2</v>
      </c>
      <c r="F55" s="4">
        <v>1.0572507256230494</v>
      </c>
      <c r="G55" s="4">
        <v>-0.16467399999999999</v>
      </c>
      <c r="H55" s="4">
        <v>-0.22208099558422756</v>
      </c>
      <c r="I55" s="4">
        <v>-0.1384</v>
      </c>
      <c r="J55" s="4">
        <v>-8.3680995584227563E-2</v>
      </c>
      <c r="K55" s="5" t="b">
        <v>1</v>
      </c>
    </row>
    <row r="56" spans="1:11" x14ac:dyDescent="0.25">
      <c r="A56" s="12" t="s">
        <v>24</v>
      </c>
      <c r="B56" s="13" t="s">
        <v>12</v>
      </c>
      <c r="C56" s="2">
        <v>3828</v>
      </c>
      <c r="D56" s="2">
        <v>1.0044135633809437</v>
      </c>
      <c r="E56" s="2">
        <v>8.8932999999999998E-2</v>
      </c>
      <c r="F56" s="2">
        <v>0.69218083604078173</v>
      </c>
      <c r="G56" s="2">
        <v>-5.9866999999999997E-2</v>
      </c>
      <c r="H56" s="2">
        <v>-0.31223272734016194</v>
      </c>
      <c r="I56" s="2">
        <v>-0.14879999999999999</v>
      </c>
      <c r="J56" s="2">
        <v>-0.16343272734016195</v>
      </c>
      <c r="K56" s="3" t="b">
        <v>1</v>
      </c>
    </row>
    <row r="57" spans="1:11" x14ac:dyDescent="0.25">
      <c r="A57" s="14" t="s">
        <v>25</v>
      </c>
      <c r="B57" s="15" t="s">
        <v>12</v>
      </c>
      <c r="C57" s="4">
        <v>3828</v>
      </c>
      <c r="D57" s="4">
        <v>1.6475090717567826</v>
      </c>
      <c r="E57" s="4">
        <v>0.16705999999999999</v>
      </c>
      <c r="F57" s="4">
        <v>0.91619753973542839</v>
      </c>
      <c r="G57" s="4">
        <v>6.4032000000000006E-2</v>
      </c>
      <c r="H57" s="4">
        <v>-0.73131153202135424</v>
      </c>
      <c r="I57" s="4">
        <v>-0.10302799999999998</v>
      </c>
      <c r="J57" s="4">
        <v>-0.62828353202135423</v>
      </c>
      <c r="K57" s="5" t="b">
        <v>1</v>
      </c>
    </row>
    <row r="58" spans="1:11" x14ac:dyDescent="0.25">
      <c r="A58" s="12" t="s">
        <v>26</v>
      </c>
      <c r="B58" s="13" t="s">
        <v>12</v>
      </c>
      <c r="C58" s="2">
        <v>3828</v>
      </c>
      <c r="D58" s="2">
        <v>0.90317783118167805</v>
      </c>
      <c r="E58" s="2">
        <v>2.3885E-2</v>
      </c>
      <c r="F58" s="2">
        <v>0.79898543154765655</v>
      </c>
      <c r="G58" s="2">
        <v>1.4027E-2</v>
      </c>
      <c r="H58" s="2">
        <v>-0.10419239963402151</v>
      </c>
      <c r="I58" s="2">
        <v>-9.8580000000000004E-3</v>
      </c>
      <c r="J58" s="2">
        <v>-9.4334399634021487E-2</v>
      </c>
      <c r="K58" s="3" t="b">
        <v>1</v>
      </c>
    </row>
    <row r="59" spans="1:11" x14ac:dyDescent="0.25">
      <c r="A59" s="14" t="s">
        <v>27</v>
      </c>
      <c r="B59" s="15" t="s">
        <v>12</v>
      </c>
      <c r="C59" s="4">
        <v>3828</v>
      </c>
      <c r="D59" s="4">
        <v>1.6491299035644675</v>
      </c>
      <c r="E59" s="4">
        <v>-4.7580000000000001E-3</v>
      </c>
      <c r="F59" s="4">
        <v>1.0947656754399109</v>
      </c>
      <c r="G59" s="4">
        <v>2.1163999999999999E-2</v>
      </c>
      <c r="H59" s="4">
        <v>-0.55436422812455666</v>
      </c>
      <c r="I59" s="4">
        <v>2.5922000000000001E-2</v>
      </c>
      <c r="J59" s="4">
        <v>-0.58028622812455666</v>
      </c>
      <c r="K59" s="5" t="b">
        <v>1</v>
      </c>
    </row>
    <row r="60" spans="1:11" x14ac:dyDescent="0.25">
      <c r="A60" s="12" t="s">
        <v>28</v>
      </c>
      <c r="B60" s="13" t="s">
        <v>12</v>
      </c>
      <c r="C60" s="2">
        <v>3828</v>
      </c>
      <c r="D60" s="2">
        <v>1.5086522605370765</v>
      </c>
      <c r="E60" s="2">
        <v>3.1260000000000003E-2</v>
      </c>
      <c r="F60" s="2">
        <v>1.0342225433578676</v>
      </c>
      <c r="G60" s="2">
        <v>-2.2945E-2</v>
      </c>
      <c r="H60" s="2">
        <v>-0.4744297171792089</v>
      </c>
      <c r="I60" s="2">
        <v>-5.4205000000000003E-2</v>
      </c>
      <c r="J60" s="2">
        <v>-0.4202247171792089</v>
      </c>
      <c r="K60" s="3" t="b">
        <v>1</v>
      </c>
    </row>
    <row r="61" spans="1:11" x14ac:dyDescent="0.25">
      <c r="A61" s="14" t="s">
        <v>29</v>
      </c>
      <c r="B61" s="15" t="s">
        <v>12</v>
      </c>
      <c r="C61" s="4">
        <v>3828</v>
      </c>
      <c r="D61" s="4">
        <v>1.6460644686689976</v>
      </c>
      <c r="E61" s="4">
        <v>0.313056</v>
      </c>
      <c r="F61" s="4">
        <v>1.0157286383311381</v>
      </c>
      <c r="G61" s="4">
        <v>-0.25945200000000002</v>
      </c>
      <c r="H61" s="4">
        <v>-0.63033583033785945</v>
      </c>
      <c r="I61" s="4">
        <v>-0.57250800000000002</v>
      </c>
      <c r="J61" s="4">
        <v>-5.7827830337859432E-2</v>
      </c>
      <c r="K61" s="5" t="b">
        <v>1</v>
      </c>
    </row>
    <row r="62" spans="1:11" x14ac:dyDescent="0.25">
      <c r="A62" s="12" t="s">
        <v>30</v>
      </c>
      <c r="B62" s="13" t="s">
        <v>12</v>
      </c>
      <c r="C62" s="2">
        <v>3828</v>
      </c>
      <c r="D62" s="2">
        <v>1.4494014797453727</v>
      </c>
      <c r="E62" s="2">
        <v>9.4149999999999998E-2</v>
      </c>
      <c r="F62" s="2">
        <v>1.1366614358892106</v>
      </c>
      <c r="G62" s="2">
        <v>7.3126999999999998E-2</v>
      </c>
      <c r="H62" s="2">
        <v>-0.31274004385616205</v>
      </c>
      <c r="I62" s="2">
        <v>-2.1023E-2</v>
      </c>
      <c r="J62" s="2">
        <v>-0.29171704385616204</v>
      </c>
      <c r="K62" s="3" t="b">
        <v>1</v>
      </c>
    </row>
    <row r="63" spans="1:11" x14ac:dyDescent="0.25">
      <c r="A63" s="14" t="s">
        <v>31</v>
      </c>
      <c r="B63" s="15" t="s">
        <v>12</v>
      </c>
      <c r="C63" s="4">
        <v>3828</v>
      </c>
      <c r="D63" s="4">
        <v>1.2381584724711261</v>
      </c>
      <c r="E63" s="4">
        <v>1.6372000000000001E-2</v>
      </c>
      <c r="F63" s="4">
        <v>0.6825847666765843</v>
      </c>
      <c r="G63" s="4">
        <v>0.111161</v>
      </c>
      <c r="H63" s="4">
        <v>-0.55557370579454179</v>
      </c>
      <c r="I63" s="4">
        <v>9.4788999999999998E-2</v>
      </c>
      <c r="J63" s="4">
        <v>-0.65036270579454181</v>
      </c>
      <c r="K63" s="5" t="b">
        <v>1</v>
      </c>
    </row>
    <row r="64" spans="1:11" x14ac:dyDescent="0.25">
      <c r="A64" s="12" t="s">
        <v>32</v>
      </c>
      <c r="B64" s="13" t="s">
        <v>12</v>
      </c>
      <c r="C64" s="2">
        <v>3828</v>
      </c>
      <c r="D64" s="2">
        <v>1.660358170457962</v>
      </c>
      <c r="E64" s="2">
        <v>0.33707300000000001</v>
      </c>
      <c r="F64" s="2">
        <v>1.0165812173496889</v>
      </c>
      <c r="G64" s="2">
        <v>3.6685000000000002E-2</v>
      </c>
      <c r="H64" s="2">
        <v>-0.6437769531082731</v>
      </c>
      <c r="I64" s="2">
        <v>-0.30038799999999999</v>
      </c>
      <c r="J64" s="2">
        <v>-0.34338895310827311</v>
      </c>
      <c r="K64" s="3" t="b">
        <v>1</v>
      </c>
    </row>
    <row r="65" spans="1:11" x14ac:dyDescent="0.25">
      <c r="A65" s="14" t="s">
        <v>33</v>
      </c>
      <c r="B65" s="15" t="s">
        <v>12</v>
      </c>
      <c r="C65" s="4">
        <v>3828</v>
      </c>
      <c r="D65" s="4">
        <v>1.5485835591806878</v>
      </c>
      <c r="E65" s="4">
        <v>0.2712</v>
      </c>
      <c r="F65" s="4">
        <v>1.0890694226182536</v>
      </c>
      <c r="G65" s="4">
        <v>9.7201999999999997E-2</v>
      </c>
      <c r="H65" s="4">
        <v>-0.45951413656243423</v>
      </c>
      <c r="I65" s="4">
        <v>-0.17399799999999999</v>
      </c>
      <c r="J65" s="4">
        <v>-0.28551613656243424</v>
      </c>
      <c r="K65" s="5" t="b">
        <v>1</v>
      </c>
    </row>
    <row r="66" spans="1:11" x14ac:dyDescent="0.25">
      <c r="A66" s="12" t="s">
        <v>34</v>
      </c>
      <c r="B66" s="13" t="s">
        <v>12</v>
      </c>
      <c r="C66" s="2">
        <v>3828</v>
      </c>
      <c r="D66" s="2">
        <v>0.43294005685806181</v>
      </c>
      <c r="E66" s="2">
        <v>3.2065000000000003E-2</v>
      </c>
      <c r="F66" s="2">
        <v>0.76659422598983029</v>
      </c>
      <c r="G66" s="2">
        <v>3.5300000000000002E-3</v>
      </c>
      <c r="H66" s="2">
        <v>0.33365416913176849</v>
      </c>
      <c r="I66" s="2">
        <v>-2.8535000000000005E-2</v>
      </c>
      <c r="J66" s="2">
        <v>0.36218916913176846</v>
      </c>
      <c r="K66" s="3" t="b">
        <v>1</v>
      </c>
    </row>
    <row r="67" spans="1:11" x14ac:dyDescent="0.25">
      <c r="A67" s="14" t="s">
        <v>35</v>
      </c>
      <c r="B67" s="15" t="s">
        <v>12</v>
      </c>
      <c r="C67" s="4">
        <v>3828</v>
      </c>
      <c r="D67" s="4">
        <v>1.3812296759846003</v>
      </c>
      <c r="E67" s="4">
        <v>0.24563599999999999</v>
      </c>
      <c r="F67" s="4">
        <v>1.0276348053512281</v>
      </c>
      <c r="G67" s="4">
        <v>7.9916000000000001E-2</v>
      </c>
      <c r="H67" s="4">
        <v>-0.35359487063337225</v>
      </c>
      <c r="I67" s="4">
        <v>-0.16571999999999998</v>
      </c>
      <c r="J67" s="4">
        <v>-0.18787487063337227</v>
      </c>
      <c r="K67" s="5" t="b">
        <v>1</v>
      </c>
    </row>
    <row r="68" spans="1:11" x14ac:dyDescent="0.25">
      <c r="A68" s="12" t="s">
        <v>36</v>
      </c>
      <c r="B68" s="13" t="s">
        <v>12</v>
      </c>
      <c r="C68" s="2">
        <v>3828</v>
      </c>
      <c r="D68" s="2">
        <v>1.1823699715278022</v>
      </c>
      <c r="E68" s="2">
        <v>8.1313999999999997E-2</v>
      </c>
      <c r="F68" s="2">
        <v>0.8967950177770545</v>
      </c>
      <c r="G68" s="2">
        <v>0.14954899999999999</v>
      </c>
      <c r="H68" s="2">
        <v>-0.28557495375074771</v>
      </c>
      <c r="I68" s="2">
        <v>6.823499999999999E-2</v>
      </c>
      <c r="J68" s="2">
        <v>-0.3538099537507477</v>
      </c>
      <c r="K68" s="3" t="b">
        <v>1</v>
      </c>
    </row>
    <row r="69" spans="1:11" x14ac:dyDescent="0.25">
      <c r="A69" s="14" t="s">
        <v>37</v>
      </c>
      <c r="B69" s="15" t="s">
        <v>12</v>
      </c>
      <c r="C69" s="4">
        <v>3828</v>
      </c>
      <c r="D69" s="4">
        <v>0.91393944079126843</v>
      </c>
      <c r="E69" s="4">
        <v>-8.2865999999999995E-2</v>
      </c>
      <c r="F69" s="4">
        <v>0.8838845520222316</v>
      </c>
      <c r="G69" s="4">
        <v>4.7937E-2</v>
      </c>
      <c r="H69" s="4">
        <v>-3.0054888769036836E-2</v>
      </c>
      <c r="I69" s="4">
        <v>0.130803</v>
      </c>
      <c r="J69" s="4">
        <v>-0.16085788876903684</v>
      </c>
      <c r="K69" s="5" t="b">
        <v>1</v>
      </c>
    </row>
    <row r="70" spans="1:11" x14ac:dyDescent="0.25">
      <c r="A70" s="12" t="s">
        <v>38</v>
      </c>
      <c r="B70" s="13" t="s">
        <v>12</v>
      </c>
      <c r="C70" s="2">
        <v>3828</v>
      </c>
      <c r="D70" s="2">
        <v>0.27537620445225758</v>
      </c>
      <c r="E70" s="2">
        <v>-0.168438</v>
      </c>
      <c r="F70" s="2">
        <v>1.0568579235105313</v>
      </c>
      <c r="G70" s="2">
        <v>0.142877</v>
      </c>
      <c r="H70" s="2">
        <v>0.78148171905827368</v>
      </c>
      <c r="I70" s="2">
        <v>0.31131500000000001</v>
      </c>
      <c r="J70" s="2">
        <v>0.47016671905827367</v>
      </c>
      <c r="K70" s="3" t="b">
        <v>1</v>
      </c>
    </row>
    <row r="71" spans="1:11" x14ac:dyDescent="0.25">
      <c r="A71" s="14" t="s">
        <v>39</v>
      </c>
      <c r="B71" s="15" t="s">
        <v>12</v>
      </c>
      <c r="C71" s="4">
        <v>3828</v>
      </c>
      <c r="D71" s="4">
        <v>1.3444521624848569</v>
      </c>
      <c r="E71" s="4">
        <v>6.3566999999999999E-2</v>
      </c>
      <c r="F71" s="4">
        <v>0.94257433002100866</v>
      </c>
      <c r="G71" s="4">
        <v>3.7657999999999997E-2</v>
      </c>
      <c r="H71" s="4">
        <v>-0.40187783246384823</v>
      </c>
      <c r="I71" s="4">
        <v>-2.5909000000000001E-2</v>
      </c>
      <c r="J71" s="4">
        <v>-0.37596883246384821</v>
      </c>
      <c r="K71" s="5" t="b">
        <v>1</v>
      </c>
    </row>
    <row r="72" spans="1:11" x14ac:dyDescent="0.25">
      <c r="A72" s="12" t="s">
        <v>41</v>
      </c>
      <c r="B72" s="13" t="s">
        <v>12</v>
      </c>
      <c r="C72" s="2">
        <v>3828</v>
      </c>
      <c r="D72" s="2">
        <v>1.5718918925535366</v>
      </c>
      <c r="E72" s="2">
        <v>2.8622000000000002E-2</v>
      </c>
      <c r="F72" s="2">
        <v>1.078330885841059</v>
      </c>
      <c r="G72" s="2">
        <v>5.9489E-2</v>
      </c>
      <c r="H72" s="2">
        <v>-0.4935610067124776</v>
      </c>
      <c r="I72" s="2">
        <v>3.0866999999999999E-2</v>
      </c>
      <c r="J72" s="2">
        <v>-0.52442800671247758</v>
      </c>
      <c r="K72" s="3" t="b">
        <v>1</v>
      </c>
    </row>
    <row r="73" spans="1:11" x14ac:dyDescent="0.25">
      <c r="A73" s="14" t="s">
        <v>42</v>
      </c>
      <c r="B73" s="15" t="s">
        <v>12</v>
      </c>
      <c r="C73" s="4">
        <v>3828</v>
      </c>
      <c r="D73" s="4">
        <v>1.77778418340286</v>
      </c>
      <c r="E73" s="4">
        <v>0.35854399999999997</v>
      </c>
      <c r="F73" s="4">
        <v>1.0845884380827346</v>
      </c>
      <c r="G73" s="4">
        <v>0.14568600000000001</v>
      </c>
      <c r="H73" s="4">
        <v>-0.6931957453201254</v>
      </c>
      <c r="I73" s="4">
        <v>-0.21285799999999996</v>
      </c>
      <c r="J73" s="4">
        <v>-0.48033774532012541</v>
      </c>
      <c r="K73" s="5" t="b">
        <v>1</v>
      </c>
    </row>
    <row r="74" spans="1:11" x14ac:dyDescent="0.25">
      <c r="A74" s="12" t="s">
        <v>43</v>
      </c>
      <c r="B74" s="13" t="s">
        <v>12</v>
      </c>
      <c r="C74" s="2">
        <v>3828</v>
      </c>
      <c r="D74" s="2">
        <v>1.7530831843631169</v>
      </c>
      <c r="E74" s="2">
        <v>0.22115000000000001</v>
      </c>
      <c r="F74" s="2">
        <v>0.93107028152317595</v>
      </c>
      <c r="G74" s="2">
        <v>-0.16395299999999999</v>
      </c>
      <c r="H74" s="2">
        <v>-0.822012902839941</v>
      </c>
      <c r="I74" s="2">
        <v>-0.38510299999999997</v>
      </c>
      <c r="J74" s="2">
        <v>-0.43690990283994102</v>
      </c>
      <c r="K74" s="3" t="b">
        <v>1</v>
      </c>
    </row>
    <row r="75" spans="1:11" x14ac:dyDescent="0.25">
      <c r="A75" s="14" t="s">
        <v>44</v>
      </c>
      <c r="B75" s="15" t="s">
        <v>12</v>
      </c>
      <c r="C75" s="4">
        <v>3828</v>
      </c>
      <c r="D75" s="4">
        <v>1.6608359661035386</v>
      </c>
      <c r="E75" s="4">
        <v>0.223581</v>
      </c>
      <c r="F75" s="4">
        <v>1.0784434190600647</v>
      </c>
      <c r="G75" s="4">
        <v>6.0359000000000003E-2</v>
      </c>
      <c r="H75" s="4">
        <v>-0.58239254704347387</v>
      </c>
      <c r="I75" s="4">
        <v>-0.16322200000000001</v>
      </c>
      <c r="J75" s="4">
        <v>-0.4191705470434739</v>
      </c>
      <c r="K75" s="5" t="b">
        <v>1</v>
      </c>
    </row>
    <row r="76" spans="1:11" x14ac:dyDescent="0.25">
      <c r="A76" s="12" t="s">
        <v>45</v>
      </c>
      <c r="B76" s="13" t="s">
        <v>12</v>
      </c>
      <c r="C76" s="2">
        <v>3828</v>
      </c>
      <c r="D76" s="2">
        <v>1.1701882983722445</v>
      </c>
      <c r="E76" s="2">
        <v>0.11131199999999999</v>
      </c>
      <c r="F76" s="2">
        <v>0.96447456427904588</v>
      </c>
      <c r="G76" s="2">
        <v>-1.8539E-2</v>
      </c>
      <c r="H76" s="2">
        <v>-0.2057137340931986</v>
      </c>
      <c r="I76" s="2">
        <v>-0.12985099999999999</v>
      </c>
      <c r="J76" s="2">
        <v>-7.5862734093198603E-2</v>
      </c>
      <c r="K76" s="3" t="b">
        <v>1</v>
      </c>
    </row>
    <row r="77" spans="1:11" x14ac:dyDescent="0.25">
      <c r="A77" s="14" t="s">
        <v>46</v>
      </c>
      <c r="B77" s="15" t="s">
        <v>12</v>
      </c>
      <c r="C77" s="4">
        <v>3828</v>
      </c>
      <c r="D77" s="4">
        <v>1.134100710724252</v>
      </c>
      <c r="E77" s="4">
        <v>-2.4718E-2</v>
      </c>
      <c r="F77" s="4">
        <v>0.96506840780851766</v>
      </c>
      <c r="G77" s="4">
        <v>-5.2999999999999998E-4</v>
      </c>
      <c r="H77" s="4">
        <v>-0.16903230291573434</v>
      </c>
      <c r="I77" s="4">
        <v>2.4188000000000001E-2</v>
      </c>
      <c r="J77" s="4">
        <v>-0.19322030291573433</v>
      </c>
      <c r="K77" s="5" t="b">
        <v>1</v>
      </c>
    </row>
    <row r="78" spans="1:11" x14ac:dyDescent="0.25">
      <c r="A78" s="12" t="s">
        <v>47</v>
      </c>
      <c r="B78" s="13" t="s">
        <v>12</v>
      </c>
      <c r="C78" s="2">
        <v>3828</v>
      </c>
      <c r="D78" s="2">
        <v>1.9702905923457812</v>
      </c>
      <c r="E78" s="2">
        <v>0.25606000000000001</v>
      </c>
      <c r="F78" s="2">
        <v>1.160804854360747</v>
      </c>
      <c r="G78" s="2">
        <v>-0.10309599999999999</v>
      </c>
      <c r="H78" s="2">
        <v>-0.8094857379850342</v>
      </c>
      <c r="I78" s="2">
        <v>-0.35915600000000003</v>
      </c>
      <c r="J78" s="2">
        <v>-0.45032973798503417</v>
      </c>
      <c r="K78" s="3" t="b">
        <v>1</v>
      </c>
    </row>
    <row r="79" spans="1:11" x14ac:dyDescent="0.25">
      <c r="A79" s="14" t="s">
        <v>48</v>
      </c>
      <c r="B79" s="15" t="s">
        <v>12</v>
      </c>
      <c r="C79" s="4">
        <v>3828</v>
      </c>
      <c r="D79" s="4">
        <v>1.0373626561867706</v>
      </c>
      <c r="E79" s="4">
        <v>4.3750000000000004E-3</v>
      </c>
      <c r="F79" s="4">
        <v>0.83862264376990081</v>
      </c>
      <c r="G79" s="4">
        <v>-7.4530000000000004E-3</v>
      </c>
      <c r="H79" s="4">
        <v>-0.19874001241686978</v>
      </c>
      <c r="I79" s="4">
        <v>-1.1828000000000002E-2</v>
      </c>
      <c r="J79" s="4">
        <v>-0.18691201241686978</v>
      </c>
      <c r="K79" s="5" t="b">
        <v>1</v>
      </c>
    </row>
    <row r="80" spans="1:11" x14ac:dyDescent="0.25">
      <c r="A80" s="12" t="s">
        <v>49</v>
      </c>
      <c r="B80" s="13" t="s">
        <v>12</v>
      </c>
      <c r="C80" s="2">
        <v>3828</v>
      </c>
      <c r="D80" s="2">
        <v>1.5057454147001226</v>
      </c>
      <c r="E80" s="2">
        <v>-5.7009999999999998E-2</v>
      </c>
      <c r="F80" s="2">
        <v>0.94752248822712148</v>
      </c>
      <c r="G80" s="2">
        <v>7.9455999999999999E-2</v>
      </c>
      <c r="H80" s="2">
        <v>-0.55822292647300109</v>
      </c>
      <c r="I80" s="2">
        <v>0.136466</v>
      </c>
      <c r="J80" s="2">
        <v>-0.69468892647300107</v>
      </c>
      <c r="K80" s="3" t="b">
        <v>1</v>
      </c>
    </row>
    <row r="81" spans="1:11" x14ac:dyDescent="0.25">
      <c r="A81" s="14" t="s">
        <v>51</v>
      </c>
      <c r="B81" s="15" t="s">
        <v>12</v>
      </c>
      <c r="C81" s="4">
        <v>3828</v>
      </c>
      <c r="D81" s="4">
        <v>1.3189237903805708</v>
      </c>
      <c r="E81" s="4">
        <v>0.17669499999999999</v>
      </c>
      <c r="F81" s="4">
        <v>1.0162459105771144</v>
      </c>
      <c r="G81" s="4">
        <v>-1.6920000000000001E-2</v>
      </c>
      <c r="H81" s="4">
        <v>-0.3026778798034564</v>
      </c>
      <c r="I81" s="4">
        <v>-0.19361499999999998</v>
      </c>
      <c r="J81" s="4">
        <v>-0.10906287980345641</v>
      </c>
      <c r="K81" s="5" t="b">
        <v>1</v>
      </c>
    </row>
    <row r="83" spans="1:11" x14ac:dyDescent="0.25">
      <c r="C83" t="s">
        <v>52</v>
      </c>
      <c r="D83">
        <f>MIN(D44:D81)</f>
        <v>0.27537620445225758</v>
      </c>
      <c r="E83">
        <f t="shared" ref="E83:J83" si="0">MIN(E44:E81)</f>
        <v>-0.168438</v>
      </c>
      <c r="F83">
        <f t="shared" si="0"/>
        <v>0.6037382069809285</v>
      </c>
      <c r="G83">
        <f t="shared" si="0"/>
        <v>-0.25957200000000002</v>
      </c>
      <c r="H83">
        <f t="shared" si="0"/>
        <v>-0.822012902839941</v>
      </c>
      <c r="I83">
        <f t="shared" si="0"/>
        <v>-0.57250800000000002</v>
      </c>
      <c r="J83">
        <f t="shared" si="0"/>
        <v>-0.69468892647300107</v>
      </c>
    </row>
    <row r="84" spans="1:11" x14ac:dyDescent="0.25">
      <c r="C84" t="s">
        <v>53</v>
      </c>
      <c r="D84">
        <f>MAX(D44:D81)</f>
        <v>1.9702905923457812</v>
      </c>
      <c r="E84">
        <f t="shared" ref="E84:J84" si="1">MAX(E44:E81)</f>
        <v>0.35854399999999997</v>
      </c>
      <c r="F84">
        <f t="shared" si="1"/>
        <v>1.3436543658477531</v>
      </c>
      <c r="G84">
        <f t="shared" si="1"/>
        <v>0.217226</v>
      </c>
      <c r="H84">
        <f t="shared" si="1"/>
        <v>0.78148171905827368</v>
      </c>
      <c r="I84">
        <f t="shared" si="1"/>
        <v>0.31131500000000001</v>
      </c>
      <c r="J84">
        <f t="shared" si="1"/>
        <v>0.47016671905827367</v>
      </c>
    </row>
    <row r="85" spans="1:11" x14ac:dyDescent="0.25">
      <c r="C85" t="s">
        <v>54</v>
      </c>
      <c r="D85">
        <f>D84-D83</f>
        <v>1.6949143878935236</v>
      </c>
      <c r="E85">
        <f t="shared" ref="E85:J85" si="2">E84-E83</f>
        <v>0.52698199999999995</v>
      </c>
      <c r="F85">
        <f t="shared" si="2"/>
        <v>0.7399161588668246</v>
      </c>
      <c r="G85">
        <f t="shared" si="2"/>
        <v>0.47679800000000006</v>
      </c>
      <c r="H85">
        <f t="shared" si="2"/>
        <v>1.6034946218982147</v>
      </c>
      <c r="I85">
        <f t="shared" si="2"/>
        <v>0.88382300000000003</v>
      </c>
      <c r="J85">
        <f t="shared" si="2"/>
        <v>1.1648556455312749</v>
      </c>
    </row>
    <row r="88" spans="1:11" x14ac:dyDescent="0.25"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</row>
    <row r="89" spans="1:11" x14ac:dyDescent="0.25">
      <c r="C89" s="12" t="s">
        <v>11</v>
      </c>
      <c r="D89">
        <f>(D44-D$83)/D$85</f>
        <v>0.36790090402641379</v>
      </c>
      <c r="E89">
        <f t="shared" ref="E89:J89" si="3">(E44-E$83)/E$85</f>
        <v>0.32681192146980359</v>
      </c>
      <c r="F89">
        <f t="shared" si="3"/>
        <v>0.20713560104771944</v>
      </c>
      <c r="G89">
        <f t="shared" si="3"/>
        <v>0.57748774113985368</v>
      </c>
      <c r="H89">
        <f t="shared" si="3"/>
        <v>0.42412200129610278</v>
      </c>
      <c r="I89">
        <f t="shared" si="3"/>
        <v>0.66132585370600216</v>
      </c>
      <c r="J89">
        <f t="shared" si="3"/>
        <v>0.46423466617053</v>
      </c>
    </row>
    <row r="90" spans="1:11" x14ac:dyDescent="0.25">
      <c r="C90" s="14" t="s">
        <v>13</v>
      </c>
      <c r="D90">
        <f t="shared" ref="D90:J90" si="4">(D45-D$83)/D$85</f>
        <v>0.39871484141302038</v>
      </c>
      <c r="E90">
        <f t="shared" si="4"/>
        <v>0.4026418359640368</v>
      </c>
      <c r="F90">
        <f t="shared" si="4"/>
        <v>0</v>
      </c>
      <c r="G90">
        <f t="shared" si="4"/>
        <v>0.62798921136414165</v>
      </c>
      <c r="H90">
        <f t="shared" si="4"/>
        <v>0.29597067399526616</v>
      </c>
      <c r="I90">
        <f t="shared" si="4"/>
        <v>0.64335619235978247</v>
      </c>
      <c r="J90">
        <f t="shared" si="4"/>
        <v>0.30146087969887508</v>
      </c>
    </row>
    <row r="91" spans="1:11" x14ac:dyDescent="0.25">
      <c r="C91" s="12" t="s">
        <v>14</v>
      </c>
      <c r="D91">
        <f t="shared" ref="D91:J91" si="5">(D46-D$83)/D$85</f>
        <v>0.49853252080339522</v>
      </c>
      <c r="E91">
        <f t="shared" si="5"/>
        <v>0.503516249131849</v>
      </c>
      <c r="F91">
        <f t="shared" si="5"/>
        <v>4.5180983220657139E-2</v>
      </c>
      <c r="G91">
        <f t="shared" si="5"/>
        <v>0.57026665380307806</v>
      </c>
      <c r="H91">
        <f t="shared" si="5"/>
        <v>0.21131040787866975</v>
      </c>
      <c r="I91">
        <f t="shared" si="5"/>
        <v>0.5520698148837494</v>
      </c>
      <c r="J91">
        <f t="shared" si="5"/>
        <v>0.25418353540501049</v>
      </c>
    </row>
    <row r="92" spans="1:11" x14ac:dyDescent="0.25">
      <c r="C92" s="14" t="s">
        <v>15</v>
      </c>
      <c r="D92">
        <f t="shared" ref="D92:J92" si="6">(D47-D$83)/D$85</f>
        <v>0.97499510539516332</v>
      </c>
      <c r="E92">
        <f t="shared" si="6"/>
        <v>0.4238114394799064</v>
      </c>
      <c r="F92">
        <f t="shared" si="6"/>
        <v>1</v>
      </c>
      <c r="G92">
        <f t="shared" si="6"/>
        <v>0.27802759239761909</v>
      </c>
      <c r="H92">
        <f t="shared" si="6"/>
        <v>0.14827479227460974</v>
      </c>
      <c r="I92">
        <f t="shared" si="6"/>
        <v>0.44193916655257898</v>
      </c>
      <c r="J92">
        <f t="shared" si="6"/>
        <v>0.25097174635328895</v>
      </c>
    </row>
    <row r="93" spans="1:11" x14ac:dyDescent="0.25">
      <c r="C93" s="12" t="s">
        <v>16</v>
      </c>
      <c r="D93">
        <f t="shared" ref="D93:J93" si="7">(D48-D$83)/D$85</f>
        <v>0.59444329501483606</v>
      </c>
      <c r="E93">
        <f t="shared" si="7"/>
        <v>0.40744845174977523</v>
      </c>
      <c r="F93">
        <f t="shared" si="7"/>
        <v>0.47957035943826742</v>
      </c>
      <c r="G93">
        <f t="shared" si="7"/>
        <v>0.54334539993875808</v>
      </c>
      <c r="H93">
        <f t="shared" si="7"/>
        <v>0.31037601456618347</v>
      </c>
      <c r="I93">
        <f t="shared" si="7"/>
        <v>0.59482724482164417</v>
      </c>
      <c r="J93">
        <f t="shared" si="7"/>
        <v>0.35811157833714363</v>
      </c>
    </row>
    <row r="94" spans="1:11" x14ac:dyDescent="0.25">
      <c r="C94" s="14" t="s">
        <v>17</v>
      </c>
      <c r="D94">
        <f t="shared" ref="D94:J94" si="8">(D49-D$83)/D$85</f>
        <v>0.4823827929022183</v>
      </c>
      <c r="E94">
        <f t="shared" si="8"/>
        <v>0.65278130941853807</v>
      </c>
      <c r="F94">
        <f t="shared" si="8"/>
        <v>0.25945580682706582</v>
      </c>
      <c r="G94">
        <f t="shared" si="8"/>
        <v>0.62043464947420079</v>
      </c>
      <c r="H94">
        <f t="shared" si="8"/>
        <v>0.32725579869320287</v>
      </c>
      <c r="I94">
        <f t="shared" si="8"/>
        <v>0.49013433685251462</v>
      </c>
      <c r="J94">
        <f t="shared" si="8"/>
        <v>0.46078236293202979</v>
      </c>
    </row>
    <row r="95" spans="1:11" x14ac:dyDescent="0.25">
      <c r="C95" s="12" t="s">
        <v>18</v>
      </c>
      <c r="D95">
        <f t="shared" ref="D95:J95" si="9">(D50-D$83)/D$85</f>
        <v>0.59326239774269474</v>
      </c>
      <c r="E95">
        <f t="shared" si="9"/>
        <v>0.58387573010083837</v>
      </c>
      <c r="F95">
        <f t="shared" si="9"/>
        <v>0.58079792238040995</v>
      </c>
      <c r="G95">
        <f t="shared" si="9"/>
        <v>1</v>
      </c>
      <c r="H95">
        <f t="shared" si="9"/>
        <v>0.35833465955979155</v>
      </c>
      <c r="I95">
        <f t="shared" si="9"/>
        <v>0.73598446747821689</v>
      </c>
      <c r="J95">
        <f t="shared" si="9"/>
        <v>0.31702788623948724</v>
      </c>
    </row>
    <row r="96" spans="1:11" x14ac:dyDescent="0.25">
      <c r="C96" s="14" t="s">
        <v>19</v>
      </c>
      <c r="D96">
        <f t="shared" ref="D96:J96" si="10">(D51-D$83)/D$85</f>
        <v>0.78428513932790123</v>
      </c>
      <c r="E96">
        <f t="shared" si="10"/>
        <v>0.69832555950677644</v>
      </c>
      <c r="F96">
        <f t="shared" si="10"/>
        <v>0.56932752132919795</v>
      </c>
      <c r="G96">
        <f t="shared" si="10"/>
        <v>0</v>
      </c>
      <c r="H96">
        <f t="shared" si="10"/>
        <v>0.15112827191329872</v>
      </c>
      <c r="I96">
        <f t="shared" si="10"/>
        <v>0.1282711583654193</v>
      </c>
      <c r="J96">
        <f t="shared" si="10"/>
        <v>0.49289231422400359</v>
      </c>
    </row>
    <row r="97" spans="3:10" x14ac:dyDescent="0.25">
      <c r="C97" s="12" t="s">
        <v>20</v>
      </c>
      <c r="D97">
        <f t="shared" ref="D97:J97" si="11">(D52-D$83)/D$85</f>
        <v>0.57022479087541866</v>
      </c>
      <c r="E97">
        <f t="shared" si="11"/>
        <v>0.37894463188496008</v>
      </c>
      <c r="F97">
        <f t="shared" si="11"/>
        <v>0.12458060023446844</v>
      </c>
      <c r="G97">
        <f t="shared" si="11"/>
        <v>0.69617322220311317</v>
      </c>
      <c r="H97">
        <f t="shared" si="11"/>
        <v>0.17216889810848698</v>
      </c>
      <c r="I97">
        <f t="shared" si="11"/>
        <v>0.69426910139247333</v>
      </c>
      <c r="J97">
        <f t="shared" si="11"/>
        <v>9.2410528481462834E-2</v>
      </c>
    </row>
    <row r="98" spans="3:10" x14ac:dyDescent="0.25">
      <c r="C98" s="14" t="s">
        <v>21</v>
      </c>
      <c r="D98">
        <f t="shared" ref="D98:J98" si="12">(D53-D$83)/D$85</f>
        <v>0.45693526518437277</v>
      </c>
      <c r="E98">
        <f t="shared" si="12"/>
        <v>0.65298435240672359</v>
      </c>
      <c r="F98">
        <f t="shared" si="12"/>
        <v>6.2688762853667548E-2</v>
      </c>
      <c r="G98">
        <f t="shared" si="12"/>
        <v>0.89086153884873676</v>
      </c>
      <c r="H98">
        <f t="shared" si="12"/>
        <v>0.26335802622559762</v>
      </c>
      <c r="I98">
        <f t="shared" si="12"/>
        <v>0.63590107974107946</v>
      </c>
      <c r="J98">
        <f t="shared" si="12"/>
        <v>0.26222408200650626</v>
      </c>
    </row>
    <row r="99" spans="3:10" x14ac:dyDescent="0.25">
      <c r="C99" s="12" t="s">
        <v>22</v>
      </c>
      <c r="D99">
        <f t="shared" ref="D99:J99" si="13">(D54-D$83)/D$85</f>
        <v>0.61614981783117895</v>
      </c>
      <c r="E99">
        <f t="shared" si="13"/>
        <v>0.28969490419027599</v>
      </c>
      <c r="F99">
        <f t="shared" si="13"/>
        <v>0.52117581256500656</v>
      </c>
      <c r="G99">
        <f t="shared" si="13"/>
        <v>0.82903661508647264</v>
      </c>
      <c r="H99">
        <f t="shared" si="13"/>
        <v>0.30663035138460187</v>
      </c>
      <c r="I99">
        <f t="shared" si="13"/>
        <v>0.8191606237900575</v>
      </c>
      <c r="J99">
        <f t="shared" si="13"/>
        <v>0.18274465493270742</v>
      </c>
    </row>
    <row r="100" spans="3:10" x14ac:dyDescent="0.25">
      <c r="C100" s="14" t="s">
        <v>23</v>
      </c>
      <c r="D100">
        <f t="shared" ref="D100:J100" si="14">(D55-D$83)/D$85</f>
        <v>0.5923340576527627</v>
      </c>
      <c r="E100">
        <f t="shared" si="14"/>
        <v>0.26977012497580566</v>
      </c>
      <c r="F100">
        <f t="shared" si="14"/>
        <v>0.61292419851550695</v>
      </c>
      <c r="G100">
        <f t="shared" si="14"/>
        <v>0.19903187513370449</v>
      </c>
      <c r="H100">
        <f t="shared" si="14"/>
        <v>0.37414026780178089</v>
      </c>
      <c r="I100">
        <f t="shared" si="14"/>
        <v>0.49117074346334055</v>
      </c>
      <c r="J100">
        <f t="shared" si="14"/>
        <v>0.52453532180813789</v>
      </c>
    </row>
    <row r="101" spans="3:10" x14ac:dyDescent="0.25">
      <c r="C101" s="12" t="s">
        <v>24</v>
      </c>
      <c r="D101">
        <f t="shared" ref="D101:J101" si="15">(D56-D$83)/D$85</f>
        <v>0.4301322616269424</v>
      </c>
      <c r="E101">
        <f t="shared" si="15"/>
        <v>0.48838670011499452</v>
      </c>
      <c r="F101">
        <f t="shared" si="15"/>
        <v>0.11953060897507951</v>
      </c>
      <c r="G101">
        <f t="shared" si="15"/>
        <v>0.41884613609956417</v>
      </c>
      <c r="H101">
        <f t="shared" si="15"/>
        <v>0.31791823217735649</v>
      </c>
      <c r="I101">
        <f t="shared" si="15"/>
        <v>0.47940368150636498</v>
      </c>
      <c r="J101">
        <f t="shared" si="15"/>
        <v>0.45607041625362971</v>
      </c>
    </row>
    <row r="102" spans="3:10" x14ac:dyDescent="0.25">
      <c r="C102" s="14" t="s">
        <v>25</v>
      </c>
      <c r="D102">
        <f t="shared" ref="D102:J102" si="16">(D57-D$83)/D$85</f>
        <v>0.80955880550984149</v>
      </c>
      <c r="E102">
        <f t="shared" si="16"/>
        <v>0.63664034065679664</v>
      </c>
      <c r="F102">
        <f t="shared" si="16"/>
        <v>0.42229018654360617</v>
      </c>
      <c r="G102">
        <f t="shared" si="16"/>
        <v>0.67870251133603743</v>
      </c>
      <c r="H102">
        <f t="shared" si="16"/>
        <v>5.6564811368818066E-2</v>
      </c>
      <c r="I102">
        <f t="shared" si="16"/>
        <v>0.53119233149623846</v>
      </c>
      <c r="J102">
        <f t="shared" si="16"/>
        <v>5.7007402338991313E-2</v>
      </c>
    </row>
    <row r="103" spans="3:10" x14ac:dyDescent="0.25">
      <c r="C103" s="12" t="s">
        <v>26</v>
      </c>
      <c r="D103">
        <f t="shared" ref="D103:J103" si="17">(D58-D$83)/D$85</f>
        <v>0.37040314909926864</v>
      </c>
      <c r="E103">
        <f t="shared" si="17"/>
        <v>0.3649517440823406</v>
      </c>
      <c r="F103">
        <f t="shared" si="17"/>
        <v>0.26387749777724484</v>
      </c>
      <c r="G103">
        <f t="shared" si="17"/>
        <v>0.57382581302773927</v>
      </c>
      <c r="H103">
        <f t="shared" si="17"/>
        <v>0.44766006284209708</v>
      </c>
      <c r="I103">
        <f t="shared" si="17"/>
        <v>0.63660936635502807</v>
      </c>
      <c r="J103">
        <f t="shared" si="17"/>
        <v>0.51538963573908425</v>
      </c>
    </row>
    <row r="104" spans="3:10" x14ac:dyDescent="0.25">
      <c r="C104" s="14" t="s">
        <v>27</v>
      </c>
      <c r="D104">
        <f t="shared" ref="D104:J104" si="18">(D59-D$83)/D$85</f>
        <v>0.81051509676517697</v>
      </c>
      <c r="E104">
        <f t="shared" si="18"/>
        <v>0.31059884398328597</v>
      </c>
      <c r="F104">
        <f t="shared" si="18"/>
        <v>0.66362582108084633</v>
      </c>
      <c r="G104">
        <f t="shared" si="18"/>
        <v>0.5887944160839601</v>
      </c>
      <c r="H104">
        <f t="shared" si="18"/>
        <v>0.16691585432231898</v>
      </c>
      <c r="I104">
        <f t="shared" si="18"/>
        <v>0.67709258528008431</v>
      </c>
      <c r="J104">
        <f t="shared" si="18"/>
        <v>9.8211910452017326E-2</v>
      </c>
    </row>
    <row r="105" spans="3:10" x14ac:dyDescent="0.25">
      <c r="C105" s="12" t="s">
        <v>28</v>
      </c>
      <c r="D105">
        <f t="shared" ref="D105:J105" si="19">(D60-D$83)/D$85</f>
        <v>0.72763324501455273</v>
      </c>
      <c r="E105">
        <f t="shared" si="19"/>
        <v>0.37894652948298052</v>
      </c>
      <c r="F105">
        <f t="shared" si="19"/>
        <v>0.58180150712781054</v>
      </c>
      <c r="G105">
        <f t="shared" si="19"/>
        <v>0.49628354145780812</v>
      </c>
      <c r="H105">
        <f t="shared" si="19"/>
        <v>0.21676604393550358</v>
      </c>
      <c r="I105">
        <f t="shared" si="19"/>
        <v>0.58643303014291315</v>
      </c>
      <c r="J105">
        <f t="shared" si="19"/>
        <v>0.23562079159483557</v>
      </c>
    </row>
    <row r="106" spans="3:10" x14ac:dyDescent="0.25">
      <c r="C106" s="14" t="s">
        <v>29</v>
      </c>
      <c r="D106">
        <f t="shared" ref="D106:J106" si="20">(D61-D$83)/D$85</f>
        <v>0.80870648925239297</v>
      </c>
      <c r="E106">
        <f t="shared" si="20"/>
        <v>0.91368206124687379</v>
      </c>
      <c r="F106">
        <f t="shared" si="20"/>
        <v>0.55680691171979479</v>
      </c>
      <c r="G106">
        <f t="shared" si="20"/>
        <v>2.5167890804912978E-4</v>
      </c>
      <c r="H106">
        <f t="shared" si="20"/>
        <v>0.11953708474255717</v>
      </c>
      <c r="I106">
        <f t="shared" si="20"/>
        <v>0</v>
      </c>
      <c r="J106">
        <f t="shared" si="20"/>
        <v>0.54672963004328134</v>
      </c>
    </row>
    <row r="107" spans="3:10" x14ac:dyDescent="0.25">
      <c r="C107" s="12" t="s">
        <v>30</v>
      </c>
      <c r="D107">
        <f t="shared" ref="D107:J107" si="21">(D62-D$83)/D$85</f>
        <v>0.69267526647892774</v>
      </c>
      <c r="E107">
        <f t="shared" si="21"/>
        <v>0.49828646898755558</v>
      </c>
      <c r="F107">
        <f t="shared" si="21"/>
        <v>0.7202481288210405</v>
      </c>
      <c r="G107">
        <f t="shared" si="21"/>
        <v>0.69777767524192635</v>
      </c>
      <c r="H107">
        <f t="shared" si="21"/>
        <v>0.31760185037658711</v>
      </c>
      <c r="I107">
        <f t="shared" si="21"/>
        <v>0.62397674647525581</v>
      </c>
      <c r="J107">
        <f t="shared" si="21"/>
        <v>0.34594147709439915</v>
      </c>
    </row>
    <row r="108" spans="3:10" x14ac:dyDescent="0.25">
      <c r="C108" s="14" t="s">
        <v>31</v>
      </c>
      <c r="D108">
        <f t="shared" ref="D108:J108" si="22">(D63-D$83)/D$85</f>
        <v>0.56804182848163509</v>
      </c>
      <c r="E108">
        <f t="shared" si="22"/>
        <v>0.35069509015488198</v>
      </c>
      <c r="F108">
        <f t="shared" si="22"/>
        <v>0.10656147828479465</v>
      </c>
      <c r="G108">
        <f t="shared" si="22"/>
        <v>0.77754730514809201</v>
      </c>
      <c r="H108">
        <f t="shared" si="22"/>
        <v>0.16616157822218877</v>
      </c>
      <c r="I108">
        <f t="shared" si="22"/>
        <v>0.75501203295229924</v>
      </c>
      <c r="J108">
        <f t="shared" si="22"/>
        <v>3.80529732147563E-2</v>
      </c>
    </row>
    <row r="109" spans="3:10" x14ac:dyDescent="0.25">
      <c r="C109" s="12" t="s">
        <v>32</v>
      </c>
      <c r="D109">
        <f t="shared" ref="D109:J109" si="23">(D64-D$83)/D$85</f>
        <v>0.81713977761849677</v>
      </c>
      <c r="E109">
        <f t="shared" si="23"/>
        <v>0.95925667290343897</v>
      </c>
      <c r="F109">
        <f t="shared" si="23"/>
        <v>0.55795917607884926</v>
      </c>
      <c r="G109">
        <f t="shared" si="23"/>
        <v>0.62134698551587886</v>
      </c>
      <c r="H109">
        <f t="shared" si="23"/>
        <v>0.11115469132080558</v>
      </c>
      <c r="I109">
        <f t="shared" si="23"/>
        <v>0.30788970189732562</v>
      </c>
      <c r="J109">
        <f t="shared" si="23"/>
        <v>0.30158241041490153</v>
      </c>
    </row>
    <row r="110" spans="3:10" x14ac:dyDescent="0.25">
      <c r="C110" s="14" t="s">
        <v>33</v>
      </c>
      <c r="D110">
        <f t="shared" ref="D110:J110" si="24">(D65-D$83)/D$85</f>
        <v>0.75119272325654152</v>
      </c>
      <c r="E110">
        <f t="shared" si="24"/>
        <v>0.83425619850393373</v>
      </c>
      <c r="F110">
        <f t="shared" si="24"/>
        <v>0.65592730990036185</v>
      </c>
      <c r="G110">
        <f t="shared" si="24"/>
        <v>0.74827075616927918</v>
      </c>
      <c r="H110">
        <f t="shared" si="24"/>
        <v>0.22606796513503816</v>
      </c>
      <c r="I110">
        <f t="shared" si="24"/>
        <v>0.45089344812253135</v>
      </c>
      <c r="J110">
        <f t="shared" si="24"/>
        <v>0.35126480390962839</v>
      </c>
    </row>
    <row r="111" spans="3:10" x14ac:dyDescent="0.25">
      <c r="C111" s="12" t="s">
        <v>34</v>
      </c>
      <c r="D111">
        <f t="shared" ref="D111:J111" si="25">(D66-D$83)/D$85</f>
        <v>9.2962720436651672E-2</v>
      </c>
      <c r="E111">
        <f t="shared" si="25"/>
        <v>0.38047409588942321</v>
      </c>
      <c r="F111">
        <f t="shared" si="25"/>
        <v>0.22010063850790124</v>
      </c>
      <c r="G111">
        <f t="shared" si="25"/>
        <v>0.55181020054614316</v>
      </c>
      <c r="H111">
        <f t="shared" si="25"/>
        <v>0.72071777241362522</v>
      </c>
      <c r="I111">
        <f t="shared" si="25"/>
        <v>0.61547730710787119</v>
      </c>
      <c r="J111">
        <f t="shared" si="25"/>
        <v>0.90730392187157394</v>
      </c>
    </row>
    <row r="112" spans="3:10" x14ac:dyDescent="0.25">
      <c r="C112" s="14" t="s">
        <v>35</v>
      </c>
      <c r="D112">
        <f t="shared" ref="D112:J112" si="26">(D67-D$83)/D$85</f>
        <v>0.65245388170119989</v>
      </c>
      <c r="E112">
        <f t="shared" si="26"/>
        <v>0.78574600270977002</v>
      </c>
      <c r="F112">
        <f t="shared" si="26"/>
        <v>0.57289814973022579</v>
      </c>
      <c r="G112">
        <f t="shared" si="26"/>
        <v>0.71201640946480471</v>
      </c>
      <c r="H112">
        <f t="shared" si="26"/>
        <v>0.29212323247586336</v>
      </c>
      <c r="I112">
        <f t="shared" si="26"/>
        <v>0.46025957686097785</v>
      </c>
      <c r="J112">
        <f t="shared" si="26"/>
        <v>0.43508743575559339</v>
      </c>
    </row>
    <row r="113" spans="3:10" x14ac:dyDescent="0.25">
      <c r="C113" s="12" t="s">
        <v>36</v>
      </c>
      <c r="D113">
        <f t="shared" ref="D113:J113" si="27">(D68-D$83)/D$85</f>
        <v>0.53512659610068924</v>
      </c>
      <c r="E113">
        <f t="shared" si="27"/>
        <v>0.47392890079737071</v>
      </c>
      <c r="F113">
        <f t="shared" si="27"/>
        <v>0.39606759128620739</v>
      </c>
      <c r="G113">
        <f t="shared" si="27"/>
        <v>0.85805938783300262</v>
      </c>
      <c r="H113">
        <f t="shared" si="27"/>
        <v>0.334543029807084</v>
      </c>
      <c r="I113">
        <f t="shared" si="27"/>
        <v>0.72496755572099847</v>
      </c>
      <c r="J113">
        <f t="shared" si="27"/>
        <v>0.29263623697061886</v>
      </c>
    </row>
    <row r="114" spans="3:10" x14ac:dyDescent="0.25">
      <c r="C114" s="14" t="s">
        <v>37</v>
      </c>
      <c r="D114">
        <f t="shared" ref="D114:J114" si="28">(D69-D$83)/D$85</f>
        <v>0.37675250201435312</v>
      </c>
      <c r="E114">
        <f t="shared" si="28"/>
        <v>0.16238125780387189</v>
      </c>
      <c r="F114">
        <f t="shared" si="28"/>
        <v>0.37861903904132177</v>
      </c>
      <c r="G114">
        <f t="shared" si="28"/>
        <v>0.64494607779395052</v>
      </c>
      <c r="H114">
        <f t="shared" si="28"/>
        <v>0.49389502356633125</v>
      </c>
      <c r="I114">
        <f t="shared" si="28"/>
        <v>0.79576001077138747</v>
      </c>
      <c r="J114">
        <f t="shared" si="28"/>
        <v>0.45828085201105856</v>
      </c>
    </row>
    <row r="115" spans="3:10" x14ac:dyDescent="0.25">
      <c r="C115" s="12" t="s">
        <v>38</v>
      </c>
      <c r="D115">
        <f t="shared" ref="D115:J115" si="29">(D70-D$83)/D$85</f>
        <v>0</v>
      </c>
      <c r="E115">
        <f t="shared" si="29"/>
        <v>0</v>
      </c>
      <c r="F115">
        <f t="shared" si="29"/>
        <v>0.61239332470256069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1</v>
      </c>
    </row>
    <row r="116" spans="3:10" x14ac:dyDescent="0.25">
      <c r="C116" s="14" t="s">
        <v>39</v>
      </c>
      <c r="D116">
        <f t="shared" ref="D116:J116" si="30">(D71-D$83)/D$85</f>
        <v>0.63075513764519409</v>
      </c>
      <c r="E116">
        <f t="shared" si="30"/>
        <v>0.44025222872887504</v>
      </c>
      <c r="F116">
        <f t="shared" si="30"/>
        <v>0.45793853665664613</v>
      </c>
      <c r="G116">
        <f t="shared" si="30"/>
        <v>0.62338768199531025</v>
      </c>
      <c r="H116">
        <f t="shared" si="30"/>
        <v>0.26201214811605511</v>
      </c>
      <c r="I116">
        <f t="shared" si="30"/>
        <v>0.61844849025200754</v>
      </c>
      <c r="J116">
        <f t="shared" si="30"/>
        <v>0.27361338311047884</v>
      </c>
    </row>
    <row r="117" spans="3:10" x14ac:dyDescent="0.25">
      <c r="C117" s="12" t="s">
        <v>41</v>
      </c>
      <c r="D117">
        <f t="shared" ref="D117:J117" si="31">(D72-D$83)/D$85</f>
        <v>0.7649446469757194</v>
      </c>
      <c r="E117">
        <f t="shared" si="31"/>
        <v>0.37394066590509739</v>
      </c>
      <c r="F117">
        <f t="shared" si="31"/>
        <v>0.64141412938861231</v>
      </c>
      <c r="G117">
        <f t="shared" si="31"/>
        <v>0.66917436734214486</v>
      </c>
      <c r="H117">
        <f t="shared" si="31"/>
        <v>0.20483504692933893</v>
      </c>
      <c r="I117">
        <f t="shared" si="31"/>
        <v>0.68268759695097314</v>
      </c>
      <c r="J117">
        <f t="shared" si="31"/>
        <v>0.14616482343858994</v>
      </c>
    </row>
    <row r="118" spans="3:10" x14ac:dyDescent="0.25">
      <c r="C118" s="14" t="s">
        <v>42</v>
      </c>
      <c r="D118">
        <f t="shared" ref="D118:J118" si="32">(D73-D$83)/D$85</f>
        <v>0.88642116066866816</v>
      </c>
      <c r="E118">
        <f t="shared" si="32"/>
        <v>1</v>
      </c>
      <c r="F118">
        <f t="shared" si="32"/>
        <v>0.64987123924719281</v>
      </c>
      <c r="G118">
        <f t="shared" si="32"/>
        <v>0.84995742431805499</v>
      </c>
      <c r="H118">
        <f t="shared" si="32"/>
        <v>8.0335260100418693E-2</v>
      </c>
      <c r="I118">
        <f t="shared" si="32"/>
        <v>0.40692536854098615</v>
      </c>
      <c r="J118">
        <f t="shared" si="32"/>
        <v>0.18401523139385481</v>
      </c>
    </row>
    <row r="119" spans="3:10" x14ac:dyDescent="0.25">
      <c r="C119" s="12" t="s">
        <v>43</v>
      </c>
      <c r="D119">
        <f t="shared" ref="D119:J119" si="33">(D74-D$83)/D$85</f>
        <v>0.87184756378603034</v>
      </c>
      <c r="E119">
        <f t="shared" si="33"/>
        <v>0.73928141758162536</v>
      </c>
      <c r="F119">
        <f t="shared" si="33"/>
        <v>0.44239076362861673</v>
      </c>
      <c r="G119">
        <f t="shared" si="33"/>
        <v>0.20054404590623287</v>
      </c>
      <c r="H119">
        <f t="shared" si="33"/>
        <v>0</v>
      </c>
      <c r="I119">
        <f t="shared" si="33"/>
        <v>0.21203906211990414</v>
      </c>
      <c r="J119">
        <f t="shared" si="33"/>
        <v>0.2212969689608969</v>
      </c>
    </row>
    <row r="120" spans="3:10" x14ac:dyDescent="0.25">
      <c r="C120" s="14" t="s">
        <v>44</v>
      </c>
      <c r="D120">
        <f t="shared" ref="D120:J120" si="34">(D75-D$83)/D$85</f>
        <v>0.81742167719347791</v>
      </c>
      <c r="E120">
        <f t="shared" si="34"/>
        <v>0.74389447836928024</v>
      </c>
      <c r="F120">
        <f t="shared" si="34"/>
        <v>0.64156621853771001</v>
      </c>
      <c r="G120">
        <f t="shared" si="34"/>
        <v>0.67099903942550088</v>
      </c>
      <c r="H120">
        <f t="shared" si="34"/>
        <v>0.1494363326973962</v>
      </c>
      <c r="I120">
        <f t="shared" si="34"/>
        <v>0.46308593462718217</v>
      </c>
      <c r="J120">
        <f t="shared" si="34"/>
        <v>0.23652577079958004</v>
      </c>
    </row>
    <row r="121" spans="3:10" x14ac:dyDescent="0.25">
      <c r="C121" s="12" t="s">
        <v>45</v>
      </c>
      <c r="D121">
        <f t="shared" ref="D121:J121" si="35">(D76-D$83)/D$85</f>
        <v>0.5279394052652292</v>
      </c>
      <c r="E121">
        <f t="shared" si="35"/>
        <v>0.53085304621410223</v>
      </c>
      <c r="F121">
        <f t="shared" si="35"/>
        <v>0.48753680126486504</v>
      </c>
      <c r="G121">
        <f t="shared" si="35"/>
        <v>0.505524352031678</v>
      </c>
      <c r="H121">
        <f t="shared" si="35"/>
        <v>0.38434751219631053</v>
      </c>
      <c r="I121">
        <f t="shared" si="35"/>
        <v>0.50084349468162748</v>
      </c>
      <c r="J121">
        <f t="shared" si="35"/>
        <v>0.53124710753113458</v>
      </c>
    </row>
    <row r="122" spans="3:10" x14ac:dyDescent="0.25">
      <c r="C122" s="14" t="s">
        <v>46</v>
      </c>
      <c r="D122">
        <f t="shared" ref="D122:J122" si="36">(D77-D$83)/D$85</f>
        <v>0.50664771766982042</v>
      </c>
      <c r="E122">
        <f t="shared" si="36"/>
        <v>0.27272278749558815</v>
      </c>
      <c r="F122">
        <f t="shared" si="36"/>
        <v>0.4883393834525297</v>
      </c>
      <c r="G122">
        <f t="shared" si="36"/>
        <v>0.54329506415714834</v>
      </c>
      <c r="H122">
        <f t="shared" si="36"/>
        <v>0.40722344247791059</v>
      </c>
      <c r="I122">
        <f t="shared" si="36"/>
        <v>0.67513065398841166</v>
      </c>
      <c r="J122">
        <f t="shared" si="36"/>
        <v>0.43049851325445027</v>
      </c>
    </row>
    <row r="123" spans="3:10" x14ac:dyDescent="0.25">
      <c r="C123" s="12" t="s">
        <v>47</v>
      </c>
      <c r="D123">
        <f t="shared" ref="D123:J123" si="37">(D78-D$83)/D$85</f>
        <v>1</v>
      </c>
      <c r="E123">
        <f t="shared" si="37"/>
        <v>0.80552656447468807</v>
      </c>
      <c r="F123">
        <f t="shared" si="37"/>
        <v>0.7528780669325581</v>
      </c>
      <c r="G123">
        <f t="shared" si="37"/>
        <v>0.32818090679910572</v>
      </c>
      <c r="H123">
        <f t="shared" si="37"/>
        <v>7.8124146372734017E-3</v>
      </c>
      <c r="I123">
        <f t="shared" si="37"/>
        <v>0.24139675025429297</v>
      </c>
      <c r="J123">
        <f t="shared" si="37"/>
        <v>0.20977636965181037</v>
      </c>
    </row>
    <row r="124" spans="3:10" x14ac:dyDescent="0.25">
      <c r="C124" s="14" t="s">
        <v>48</v>
      </c>
      <c r="D124">
        <f t="shared" ref="D124:J124" si="38">(D79-D$83)/D$85</f>
        <v>0.4495722363189838</v>
      </c>
      <c r="E124">
        <f t="shared" si="38"/>
        <v>0.32792960670383431</v>
      </c>
      <c r="F124">
        <f t="shared" si="38"/>
        <v>0.31744736748106145</v>
      </c>
      <c r="G124">
        <f t="shared" si="38"/>
        <v>0.52877528848694832</v>
      </c>
      <c r="H124">
        <f t="shared" si="38"/>
        <v>0.3886965892565587</v>
      </c>
      <c r="I124">
        <f t="shared" si="38"/>
        <v>0.63438041327279338</v>
      </c>
      <c r="J124">
        <f t="shared" si="38"/>
        <v>0.43591402591738404</v>
      </c>
    </row>
    <row r="125" spans="3:10" x14ac:dyDescent="0.25">
      <c r="C125" s="12" t="s">
        <v>49</v>
      </c>
      <c r="D125">
        <f t="shared" ref="D125:J125" si="39">(D80-D$83)/D$85</f>
        <v>0.72591820509411953</v>
      </c>
      <c r="E125">
        <f t="shared" si="39"/>
        <v>0.21144555221999994</v>
      </c>
      <c r="F125">
        <f t="shared" si="39"/>
        <v>0.4646259946163302</v>
      </c>
      <c r="G125">
        <f t="shared" si="39"/>
        <v>0.71105164031728307</v>
      </c>
      <c r="H125">
        <f t="shared" si="39"/>
        <v>0.16450942383247016</v>
      </c>
      <c r="I125">
        <f t="shared" si="39"/>
        <v>0.80216740229661365</v>
      </c>
      <c r="J125">
        <f t="shared" si="39"/>
        <v>0</v>
      </c>
    </row>
    <row r="126" spans="3:10" x14ac:dyDescent="0.25">
      <c r="C126" s="14" t="s">
        <v>51</v>
      </c>
      <c r="D126">
        <f t="shared" ref="D126:J126" si="40">(D81-D$83)/D$85</f>
        <v>0.61569339040496129</v>
      </c>
      <c r="E126">
        <f t="shared" si="40"/>
        <v>0.65492369758359881</v>
      </c>
      <c r="F126">
        <f t="shared" si="40"/>
        <v>0.55750600747514156</v>
      </c>
      <c r="G126">
        <f t="shared" si="40"/>
        <v>0.5089199199661073</v>
      </c>
      <c r="H126">
        <f t="shared" si="40"/>
        <v>0.32387699711876583</v>
      </c>
      <c r="I126">
        <f t="shared" si="40"/>
        <v>0.42869782750618624</v>
      </c>
      <c r="J126">
        <f t="shared" si="40"/>
        <v>0.50274559677516828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05BD-DA50-4E60-AC6B-7B66C934AD4C}">
  <sheetPr codeName="Sheet4"/>
  <dimension ref="A1:K126"/>
  <sheetViews>
    <sheetView tabSelected="1" topLeftCell="A38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-2.3210752581631001E-2</v>
      </c>
      <c r="E2">
        <v>3.7859999999999999E-3</v>
      </c>
      <c r="F2">
        <v>-1.4698422828471575E-2</v>
      </c>
      <c r="G2">
        <v>1.5772999999999999E-2</v>
      </c>
      <c r="H2">
        <v>8.5123297531594262E-3</v>
      </c>
      <c r="I2">
        <v>1.1986999999999999E-2</v>
      </c>
      <c r="J2">
        <v>-3.4746702468405732E-3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3.3568919206862703E-2</v>
      </c>
      <c r="E3">
        <v>4.3747000000000001E-2</v>
      </c>
      <c r="F3">
        <v>0.10139923126639129</v>
      </c>
      <c r="G3">
        <v>3.9851999999999999E-2</v>
      </c>
      <c r="H3">
        <v>6.783031205952858E-2</v>
      </c>
      <c r="I3">
        <v>-3.8950000000000026E-3</v>
      </c>
      <c r="J3">
        <v>7.172531205952859E-2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0.50545263264085694</v>
      </c>
      <c r="E4">
        <v>9.6906000000000006E-2</v>
      </c>
      <c r="F4">
        <v>0.53841052043971649</v>
      </c>
      <c r="G4">
        <v>1.2330000000000001E-2</v>
      </c>
      <c r="H4">
        <v>3.2957887798859553E-2</v>
      </c>
      <c r="I4">
        <v>-8.4576000000000012E-2</v>
      </c>
      <c r="J4">
        <v>0.11753388779885957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-0.13515954970323371</v>
      </c>
      <c r="E5">
        <v>5.4903E-2</v>
      </c>
      <c r="F5">
        <v>-5.6002747404422938E-2</v>
      </c>
      <c r="G5">
        <v>-0.12700900000000001</v>
      </c>
      <c r="H5">
        <v>7.915680229881078E-2</v>
      </c>
      <c r="I5">
        <v>-0.18191200000000002</v>
      </c>
      <c r="J5">
        <v>0.2610688022988108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4.6161509908028101E-2</v>
      </c>
      <c r="E6">
        <v>4.6280000000000002E-2</v>
      </c>
      <c r="F6">
        <v>9.7486353332250877E-2</v>
      </c>
      <c r="G6">
        <v>-5.0600000000000005E-4</v>
      </c>
      <c r="H6">
        <v>5.1324843424222777E-2</v>
      </c>
      <c r="I6">
        <v>-4.6786000000000001E-2</v>
      </c>
      <c r="J6">
        <v>9.8110843424222771E-2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0.27605328997095557</v>
      </c>
      <c r="E7">
        <v>0.175566</v>
      </c>
      <c r="F7">
        <v>0.27723559203216075</v>
      </c>
      <c r="G7">
        <v>3.6249999999999998E-2</v>
      </c>
      <c r="H7">
        <v>1.182302061205176E-3</v>
      </c>
      <c r="I7">
        <v>-0.139316</v>
      </c>
      <c r="J7">
        <v>0.14049830206120517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0.28533937556457423</v>
      </c>
      <c r="E8">
        <v>0.13925399999999999</v>
      </c>
      <c r="F8">
        <v>0.33384648962290864</v>
      </c>
      <c r="G8">
        <v>0.217226</v>
      </c>
      <c r="H8">
        <v>4.8507114058334411E-2</v>
      </c>
      <c r="I8">
        <v>7.7972000000000014E-2</v>
      </c>
      <c r="J8">
        <v>-2.9464885941665603E-2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0.18314137315611759</v>
      </c>
      <c r="E9">
        <v>0.19956699999999999</v>
      </c>
      <c r="F9">
        <v>0.18750875915598494</v>
      </c>
      <c r="G9">
        <v>-0.25957200000000002</v>
      </c>
      <c r="H9">
        <v>4.367385999867357E-3</v>
      </c>
      <c r="I9">
        <v>-0.45913900000000002</v>
      </c>
      <c r="J9">
        <v>0.46350638599986738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0.15677245269876289</v>
      </c>
      <c r="E10">
        <v>3.1259000000000002E-2</v>
      </c>
      <c r="F10">
        <v>0.20343110392283376</v>
      </c>
      <c r="G10">
        <v>7.2361999999999996E-2</v>
      </c>
      <c r="H10">
        <v>4.6658651224070868E-2</v>
      </c>
      <c r="I10">
        <v>4.1102999999999994E-2</v>
      </c>
      <c r="J10">
        <v>5.5556512240708747E-3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0.21538232046209169</v>
      </c>
      <c r="E11">
        <v>0.175673</v>
      </c>
      <c r="F11">
        <v>0.21336553494451158</v>
      </c>
      <c r="G11">
        <v>0.165189</v>
      </c>
      <c r="H11">
        <v>-2.0167855175801108E-3</v>
      </c>
      <c r="I11">
        <v>-1.0483999999999993E-2</v>
      </c>
      <c r="J11">
        <v>8.4672144824198825E-3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-0.1555707853177824</v>
      </c>
      <c r="E12">
        <v>-1.5774E-2</v>
      </c>
      <c r="F12">
        <v>-0.10136532114951147</v>
      </c>
      <c r="G12">
        <v>0.135711</v>
      </c>
      <c r="H12">
        <v>5.4205464168270934E-2</v>
      </c>
      <c r="I12">
        <v>0.15148500000000001</v>
      </c>
      <c r="J12">
        <v>-9.7279535831729075E-2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-0.19734106358565209</v>
      </c>
      <c r="E13">
        <v>-2.6273999999999999E-2</v>
      </c>
      <c r="F13">
        <v>-0.12152942686110801</v>
      </c>
      <c r="G13">
        <v>-0.16467399999999999</v>
      </c>
      <c r="H13">
        <v>7.5811636724544079E-2</v>
      </c>
      <c r="I13">
        <v>-0.1384</v>
      </c>
      <c r="J13">
        <v>0.21421163672454407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0.1932437367442621</v>
      </c>
      <c r="E14">
        <v>8.8932999999999998E-2</v>
      </c>
      <c r="F14">
        <v>0.19817474950772362</v>
      </c>
      <c r="G14">
        <v>-5.9866999999999997E-2</v>
      </c>
      <c r="H14">
        <v>4.9310127634615286E-3</v>
      </c>
      <c r="I14">
        <v>-0.14879999999999999</v>
      </c>
      <c r="J14">
        <v>0.15373101276346152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0.2090286835326321</v>
      </c>
      <c r="E15">
        <v>0.16705999999999999</v>
      </c>
      <c r="F15">
        <v>0.20531837391684574</v>
      </c>
      <c r="G15">
        <v>6.4032000000000006E-2</v>
      </c>
      <c r="H15">
        <v>-3.7103096157863613E-3</v>
      </c>
      <c r="I15">
        <v>-0.10302799999999998</v>
      </c>
      <c r="J15">
        <v>9.9317690384213619E-2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-0.1818072622579727</v>
      </c>
      <c r="E16">
        <v>2.3885E-2</v>
      </c>
      <c r="F16">
        <v>-0.13704323877701841</v>
      </c>
      <c r="G16">
        <v>1.4027E-2</v>
      </c>
      <c r="H16">
        <v>4.476402348095429E-2</v>
      </c>
      <c r="I16">
        <v>-9.8580000000000004E-3</v>
      </c>
      <c r="J16">
        <v>5.4622023480954289E-2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-2.2952810862529201E-2</v>
      </c>
      <c r="E17">
        <v>-4.7580000000000001E-3</v>
      </c>
      <c r="F17">
        <v>-8.4748092073607756E-2</v>
      </c>
      <c r="G17">
        <v>2.1163999999999999E-2</v>
      </c>
      <c r="H17">
        <v>-6.1795281211078551E-2</v>
      </c>
      <c r="I17">
        <v>2.5922000000000001E-2</v>
      </c>
      <c r="J17">
        <v>-8.7717281211078552E-2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0.37344386481957031</v>
      </c>
      <c r="E18">
        <v>3.1260000000000003E-2</v>
      </c>
      <c r="F18">
        <v>0.39463958412836408</v>
      </c>
      <c r="G18">
        <v>-2.2945E-2</v>
      </c>
      <c r="H18">
        <v>2.119571930879377E-2</v>
      </c>
      <c r="I18">
        <v>-5.4205000000000003E-2</v>
      </c>
      <c r="J18">
        <v>7.5400719308793773E-2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0.5117664630273937</v>
      </c>
      <c r="E19">
        <v>0.313056</v>
      </c>
      <c r="F19">
        <v>0.46464609688002706</v>
      </c>
      <c r="G19">
        <v>-0.25945200000000002</v>
      </c>
      <c r="H19">
        <v>-4.7120366147366644E-2</v>
      </c>
      <c r="I19">
        <v>-0.57250800000000002</v>
      </c>
      <c r="J19">
        <v>0.52538763385263332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-7.7591054224964304E-2</v>
      </c>
      <c r="E20">
        <v>9.4149999999999998E-2</v>
      </c>
      <c r="F20">
        <v>-2.4755696573245792E-2</v>
      </c>
      <c r="G20">
        <v>7.3126999999999998E-2</v>
      </c>
      <c r="H20">
        <v>5.2835357651718512E-2</v>
      </c>
      <c r="I20">
        <v>-2.1023E-2</v>
      </c>
      <c r="J20">
        <v>7.3858357651718512E-2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3.02757072927568E-2</v>
      </c>
      <c r="E21">
        <v>1.6372000000000001E-2</v>
      </c>
      <c r="F21">
        <v>5.6591800086873069E-2</v>
      </c>
      <c r="G21">
        <v>0.111161</v>
      </c>
      <c r="H21">
        <v>2.6316092794116269E-2</v>
      </c>
      <c r="I21">
        <v>9.4788999999999998E-2</v>
      </c>
      <c r="J21">
        <v>-6.8472907205883726E-2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0.59055959738244734</v>
      </c>
      <c r="E22">
        <v>0.33707300000000001</v>
      </c>
      <c r="F22">
        <v>0.48207801568259279</v>
      </c>
      <c r="G22">
        <v>3.6685000000000002E-2</v>
      </c>
      <c r="H22">
        <v>-0.10848158169985456</v>
      </c>
      <c r="I22">
        <v>-0.30038799999999999</v>
      </c>
      <c r="J22">
        <v>0.19190641830014543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0.43313338842207599</v>
      </c>
      <c r="E23">
        <v>0.2712</v>
      </c>
      <c r="F23">
        <v>0.36550519159553935</v>
      </c>
      <c r="G23">
        <v>9.7201999999999997E-2</v>
      </c>
      <c r="H23">
        <v>-6.7628196826536646E-2</v>
      </c>
      <c r="I23">
        <v>-0.17399799999999999</v>
      </c>
      <c r="J23">
        <v>0.10636980317346334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0.13873827117708201</v>
      </c>
      <c r="E24">
        <v>3.2065000000000003E-2</v>
      </c>
      <c r="F24">
        <v>9.745714358895563E-2</v>
      </c>
      <c r="G24">
        <v>3.5300000000000002E-3</v>
      </c>
      <c r="H24">
        <v>-4.1281127588126382E-2</v>
      </c>
      <c r="I24">
        <v>-2.8535000000000005E-2</v>
      </c>
      <c r="J24">
        <v>-1.2746127588126377E-2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0.37794053506920172</v>
      </c>
      <c r="E25">
        <v>0.24563599999999999</v>
      </c>
      <c r="F25">
        <v>0.31068930373362558</v>
      </c>
      <c r="G25">
        <v>7.9916000000000001E-2</v>
      </c>
      <c r="H25">
        <v>-6.7251231335576145E-2</v>
      </c>
      <c r="I25">
        <v>-0.16571999999999998</v>
      </c>
      <c r="J25">
        <v>9.8468768664423834E-2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0.21925464555285401</v>
      </c>
      <c r="E26">
        <v>8.1313999999999997E-2</v>
      </c>
      <c r="F26">
        <v>0.22630658656826819</v>
      </c>
      <c r="G26">
        <v>0.14954899999999999</v>
      </c>
      <c r="H26">
        <v>7.051941015414176E-3</v>
      </c>
      <c r="I26">
        <v>6.823499999999999E-2</v>
      </c>
      <c r="J26">
        <v>-6.1183058984585814E-2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0.25848424340746068</v>
      </c>
      <c r="E27">
        <v>-8.2865999999999995E-2</v>
      </c>
      <c r="F27">
        <v>0.25436498853242451</v>
      </c>
      <c r="G27">
        <v>4.7937E-2</v>
      </c>
      <c r="H27">
        <v>-4.1192548750361713E-3</v>
      </c>
      <c r="I27">
        <v>0.130803</v>
      </c>
      <c r="J27">
        <v>-0.13492225487503617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0.26360834233351721</v>
      </c>
      <c r="E28">
        <v>-0.168438</v>
      </c>
      <c r="F28">
        <v>0.36602994939705052</v>
      </c>
      <c r="G28">
        <v>0.142877</v>
      </c>
      <c r="H28">
        <v>0.10242160706353332</v>
      </c>
      <c r="I28">
        <v>0.31131500000000001</v>
      </c>
      <c r="J28">
        <v>-0.20889339293646669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0.1118369536335312</v>
      </c>
      <c r="E29">
        <v>6.3566999999999999E-2</v>
      </c>
      <c r="F29">
        <v>0.12348981720632926</v>
      </c>
      <c r="G29">
        <v>3.7657999999999997E-2</v>
      </c>
      <c r="H29">
        <v>1.1652863572798058E-2</v>
      </c>
      <c r="I29">
        <v>-2.5909000000000001E-2</v>
      </c>
      <c r="J29">
        <v>3.756186357279806E-2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0.79869444515810495</v>
      </c>
      <c r="E30">
        <v>0.81220199999999998</v>
      </c>
      <c r="F30">
        <v>0.7663529225196497</v>
      </c>
      <c r="G30">
        <v>0.70438599999999996</v>
      </c>
      <c r="H30">
        <v>-3.2341522638455245E-2</v>
      </c>
      <c r="I30">
        <v>-0.10781600000000002</v>
      </c>
      <c r="J30">
        <v>7.5474477361544778E-2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0.1112268609068378</v>
      </c>
      <c r="E31">
        <v>2.8622000000000002E-2</v>
      </c>
      <c r="F31">
        <v>4.0704062744819712E-2</v>
      </c>
      <c r="G31">
        <v>5.9489E-2</v>
      </c>
      <c r="H31">
        <v>-7.0522798162018091E-2</v>
      </c>
      <c r="I31">
        <v>3.0866999999999999E-2</v>
      </c>
      <c r="J31">
        <v>-0.1013897981620181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0.67311566674955281</v>
      </c>
      <c r="E32">
        <v>0.35854399999999997</v>
      </c>
      <c r="F32">
        <v>0.60466790571537565</v>
      </c>
      <c r="G32">
        <v>0.14568600000000001</v>
      </c>
      <c r="H32">
        <v>-6.8447761034177157E-2</v>
      </c>
      <c r="I32">
        <v>-0.21285799999999996</v>
      </c>
      <c r="J32">
        <v>0.14441023896582281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0.4076849692900133</v>
      </c>
      <c r="E33">
        <v>0.22115000000000001</v>
      </c>
      <c r="F33">
        <v>0.38004434930590897</v>
      </c>
      <c r="G33">
        <v>-0.16395299999999999</v>
      </c>
      <c r="H33">
        <v>-2.7640619984104331E-2</v>
      </c>
      <c r="I33">
        <v>-0.38510299999999997</v>
      </c>
      <c r="J33">
        <v>0.35746238001589564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0.70039524268227538</v>
      </c>
      <c r="E34">
        <v>0.223581</v>
      </c>
      <c r="F34">
        <v>0.67246848270558823</v>
      </c>
      <c r="G34">
        <v>6.0359000000000003E-2</v>
      </c>
      <c r="H34">
        <v>-2.7926759976687143E-2</v>
      </c>
      <c r="I34">
        <v>-0.16322200000000001</v>
      </c>
      <c r="J34">
        <v>0.13529524002331286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0.1566104119420616</v>
      </c>
      <c r="E35">
        <v>0.11131199999999999</v>
      </c>
      <c r="F35">
        <v>0.19147221730304925</v>
      </c>
      <c r="G35">
        <v>-1.8539E-2</v>
      </c>
      <c r="H35">
        <v>3.4861805360987652E-2</v>
      </c>
      <c r="I35">
        <v>-0.12985099999999999</v>
      </c>
      <c r="J35">
        <v>0.16471280536098765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-0.17622054256240749</v>
      </c>
      <c r="E36">
        <v>-2.4718E-2</v>
      </c>
      <c r="F36">
        <v>-0.14312600339593534</v>
      </c>
      <c r="G36">
        <v>-5.2999999999999998E-4</v>
      </c>
      <c r="H36">
        <v>3.3094539166472148E-2</v>
      </c>
      <c r="I36">
        <v>2.4188000000000001E-2</v>
      </c>
      <c r="J36">
        <v>8.9065391664721466E-3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0.30454475362775152</v>
      </c>
      <c r="E37">
        <v>0.25606000000000001</v>
      </c>
      <c r="F37">
        <v>0.23559498171518198</v>
      </c>
      <c r="G37">
        <v>-0.10309599999999999</v>
      </c>
      <c r="H37">
        <v>-6.8949771912569541E-2</v>
      </c>
      <c r="I37">
        <v>-0.35915600000000003</v>
      </c>
      <c r="J37">
        <v>0.29020622808743046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0.1233562206637127</v>
      </c>
      <c r="E38">
        <v>4.3750000000000004E-3</v>
      </c>
      <c r="F38">
        <v>0.14578162992411453</v>
      </c>
      <c r="G38">
        <v>-7.4530000000000004E-3</v>
      </c>
      <c r="H38">
        <v>2.2425409260401832E-2</v>
      </c>
      <c r="I38">
        <v>-1.1828000000000002E-2</v>
      </c>
      <c r="J38">
        <v>3.4253409260401838E-2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0.17716402949153559</v>
      </c>
      <c r="E39">
        <v>-5.7009999999999998E-2</v>
      </c>
      <c r="F39">
        <v>0.11498284042630555</v>
      </c>
      <c r="G39">
        <v>7.9455999999999999E-2</v>
      </c>
      <c r="H39">
        <v>-6.2181189065230041E-2</v>
      </c>
      <c r="I39">
        <v>0.136466</v>
      </c>
      <c r="J39">
        <v>-0.19864718906523005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0.35187633641277699</v>
      </c>
      <c r="E40">
        <v>1.0811409999999999</v>
      </c>
      <c r="F40">
        <v>0.35931326021934146</v>
      </c>
      <c r="G40">
        <v>0.99823200000000001</v>
      </c>
      <c r="H40">
        <v>7.4369238065644661E-3</v>
      </c>
      <c r="I40">
        <v>-8.2908999999999899E-2</v>
      </c>
      <c r="J40">
        <v>9.0345923806564365E-2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0.58518870590865313</v>
      </c>
      <c r="E41">
        <v>0.17669499999999999</v>
      </c>
      <c r="F41">
        <v>0.65998759789203365</v>
      </c>
      <c r="G41">
        <v>-1.6920000000000001E-2</v>
      </c>
      <c r="H41">
        <v>7.4798891983380522E-2</v>
      </c>
      <c r="I41">
        <v>-0.19361499999999998</v>
      </c>
      <c r="J41">
        <v>0.2684138919833805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-2.3210752581631001E-2</v>
      </c>
      <c r="E44" s="8">
        <v>3.7859999999999999E-3</v>
      </c>
      <c r="F44" s="8">
        <v>-1.4698422828471575E-2</v>
      </c>
      <c r="G44" s="8">
        <v>1.5772999999999999E-2</v>
      </c>
      <c r="H44" s="8">
        <v>8.5123297531594262E-3</v>
      </c>
      <c r="I44" s="8">
        <v>1.1986999999999999E-2</v>
      </c>
      <c r="J44" s="8">
        <v>-3.4746702468405732E-3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3.3568919206862703E-2</v>
      </c>
      <c r="E45" s="10">
        <v>4.3747000000000001E-2</v>
      </c>
      <c r="F45" s="10">
        <v>0.10139923126639129</v>
      </c>
      <c r="G45" s="10">
        <v>3.9851999999999999E-2</v>
      </c>
      <c r="H45" s="10">
        <v>6.783031205952858E-2</v>
      </c>
      <c r="I45" s="10">
        <v>-3.8950000000000026E-3</v>
      </c>
      <c r="J45" s="10">
        <v>7.172531205952859E-2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0.50545263264085694</v>
      </c>
      <c r="E46" s="8">
        <v>9.6906000000000006E-2</v>
      </c>
      <c r="F46" s="8">
        <v>0.53841052043971649</v>
      </c>
      <c r="G46" s="8">
        <v>1.2330000000000001E-2</v>
      </c>
      <c r="H46" s="8">
        <v>3.2957887798859553E-2</v>
      </c>
      <c r="I46" s="8">
        <v>-8.4576000000000012E-2</v>
      </c>
      <c r="J46" s="8">
        <v>0.11753388779885957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-0.13515954970323371</v>
      </c>
      <c r="E47" s="10">
        <v>5.4903E-2</v>
      </c>
      <c r="F47" s="10">
        <v>-5.6002747404422938E-2</v>
      </c>
      <c r="G47" s="10">
        <v>-0.12700900000000001</v>
      </c>
      <c r="H47" s="10">
        <v>7.915680229881078E-2</v>
      </c>
      <c r="I47" s="10">
        <v>-0.18191200000000002</v>
      </c>
      <c r="J47" s="10">
        <v>0.2610688022988108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4.6161509908028101E-2</v>
      </c>
      <c r="E48" s="8">
        <v>4.6280000000000002E-2</v>
      </c>
      <c r="F48" s="8">
        <v>9.7486353332250877E-2</v>
      </c>
      <c r="G48" s="8">
        <v>-5.0600000000000005E-4</v>
      </c>
      <c r="H48" s="8">
        <v>5.1324843424222777E-2</v>
      </c>
      <c r="I48" s="8">
        <v>-4.6786000000000001E-2</v>
      </c>
      <c r="J48" s="8">
        <v>9.8110843424222771E-2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0.27605328997095557</v>
      </c>
      <c r="E49" s="10">
        <v>0.175566</v>
      </c>
      <c r="F49" s="10">
        <v>0.27723559203216075</v>
      </c>
      <c r="G49" s="10">
        <v>3.6249999999999998E-2</v>
      </c>
      <c r="H49" s="10">
        <v>1.182302061205176E-3</v>
      </c>
      <c r="I49" s="10">
        <v>-0.139316</v>
      </c>
      <c r="J49" s="10">
        <v>0.14049830206120517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0.28533937556457423</v>
      </c>
      <c r="E50" s="8">
        <v>0.13925399999999999</v>
      </c>
      <c r="F50" s="8">
        <v>0.33384648962290864</v>
      </c>
      <c r="G50" s="8">
        <v>0.217226</v>
      </c>
      <c r="H50" s="8">
        <v>4.8507114058334411E-2</v>
      </c>
      <c r="I50" s="8">
        <v>7.7972000000000014E-2</v>
      </c>
      <c r="J50" s="8">
        <v>-2.9464885941665603E-2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0.18314137315611759</v>
      </c>
      <c r="E51" s="10">
        <v>0.19956699999999999</v>
      </c>
      <c r="F51" s="10">
        <v>0.18750875915598494</v>
      </c>
      <c r="G51" s="10">
        <v>-0.25957200000000002</v>
      </c>
      <c r="H51" s="10">
        <v>4.367385999867357E-3</v>
      </c>
      <c r="I51" s="10">
        <v>-0.45913900000000002</v>
      </c>
      <c r="J51" s="10">
        <v>0.46350638599986738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0.15677245269876289</v>
      </c>
      <c r="E52" s="8">
        <v>3.1259000000000002E-2</v>
      </c>
      <c r="F52" s="8">
        <v>0.20343110392283376</v>
      </c>
      <c r="G52" s="8">
        <v>7.2361999999999996E-2</v>
      </c>
      <c r="H52" s="8">
        <v>4.6658651224070868E-2</v>
      </c>
      <c r="I52" s="8">
        <v>4.1102999999999994E-2</v>
      </c>
      <c r="J52" s="8">
        <v>5.5556512240708747E-3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0.21538232046209169</v>
      </c>
      <c r="E53" s="10">
        <v>0.175673</v>
      </c>
      <c r="F53" s="10">
        <v>0.21336553494451158</v>
      </c>
      <c r="G53" s="10">
        <v>0.165189</v>
      </c>
      <c r="H53" s="10">
        <v>-2.0167855175801108E-3</v>
      </c>
      <c r="I53" s="10">
        <v>-1.0483999999999993E-2</v>
      </c>
      <c r="J53" s="10">
        <v>8.4672144824198825E-3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-0.1555707853177824</v>
      </c>
      <c r="E54" s="8">
        <v>-1.5774E-2</v>
      </c>
      <c r="F54" s="8">
        <v>-0.10136532114951147</v>
      </c>
      <c r="G54" s="8">
        <v>0.135711</v>
      </c>
      <c r="H54" s="8">
        <v>5.4205464168270934E-2</v>
      </c>
      <c r="I54" s="8">
        <v>0.15148500000000001</v>
      </c>
      <c r="J54" s="8">
        <v>-9.7279535831729075E-2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-0.19734106358565209</v>
      </c>
      <c r="E55" s="10">
        <v>-2.6273999999999999E-2</v>
      </c>
      <c r="F55" s="10">
        <v>-0.12152942686110801</v>
      </c>
      <c r="G55" s="10">
        <v>-0.16467399999999999</v>
      </c>
      <c r="H55" s="10">
        <v>7.5811636724544079E-2</v>
      </c>
      <c r="I55" s="10">
        <v>-0.1384</v>
      </c>
      <c r="J55" s="10">
        <v>0.21421163672454407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0.1932437367442621</v>
      </c>
      <c r="E56" s="8">
        <v>8.8932999999999998E-2</v>
      </c>
      <c r="F56" s="8">
        <v>0.19817474950772362</v>
      </c>
      <c r="G56" s="8">
        <v>-5.9866999999999997E-2</v>
      </c>
      <c r="H56" s="8">
        <v>4.9310127634615286E-3</v>
      </c>
      <c r="I56" s="8">
        <v>-0.14879999999999999</v>
      </c>
      <c r="J56" s="8">
        <v>0.15373101276346152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0.2090286835326321</v>
      </c>
      <c r="E57" s="10">
        <v>0.16705999999999999</v>
      </c>
      <c r="F57" s="10">
        <v>0.20531837391684574</v>
      </c>
      <c r="G57" s="10">
        <v>6.4032000000000006E-2</v>
      </c>
      <c r="H57" s="10">
        <v>-3.7103096157863613E-3</v>
      </c>
      <c r="I57" s="10">
        <v>-0.10302799999999998</v>
      </c>
      <c r="J57" s="10">
        <v>9.9317690384213619E-2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-0.1818072622579727</v>
      </c>
      <c r="E58" s="8">
        <v>2.3885E-2</v>
      </c>
      <c r="F58" s="8">
        <v>-0.13704323877701841</v>
      </c>
      <c r="G58" s="8">
        <v>1.4027E-2</v>
      </c>
      <c r="H58" s="8">
        <v>4.476402348095429E-2</v>
      </c>
      <c r="I58" s="8">
        <v>-9.8580000000000004E-3</v>
      </c>
      <c r="J58" s="8">
        <v>5.4622023480954289E-2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-2.2952810862529201E-2</v>
      </c>
      <c r="E59" s="10">
        <v>-4.7580000000000001E-3</v>
      </c>
      <c r="F59" s="10">
        <v>-8.4748092073607756E-2</v>
      </c>
      <c r="G59" s="10">
        <v>2.1163999999999999E-2</v>
      </c>
      <c r="H59" s="10">
        <v>-6.1795281211078551E-2</v>
      </c>
      <c r="I59" s="10">
        <v>2.5922000000000001E-2</v>
      </c>
      <c r="J59" s="10">
        <v>-8.7717281211078552E-2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0.37344386481957031</v>
      </c>
      <c r="E60" s="8">
        <v>3.1260000000000003E-2</v>
      </c>
      <c r="F60" s="8">
        <v>0.39463958412836408</v>
      </c>
      <c r="G60" s="8">
        <v>-2.2945E-2</v>
      </c>
      <c r="H60" s="8">
        <v>2.119571930879377E-2</v>
      </c>
      <c r="I60" s="8">
        <v>-5.4205000000000003E-2</v>
      </c>
      <c r="J60" s="8">
        <v>7.5400719308793773E-2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0.5117664630273937</v>
      </c>
      <c r="E61" s="10">
        <v>0.313056</v>
      </c>
      <c r="F61" s="10">
        <v>0.46464609688002706</v>
      </c>
      <c r="G61" s="10">
        <v>-0.25945200000000002</v>
      </c>
      <c r="H61" s="10">
        <v>-4.7120366147366644E-2</v>
      </c>
      <c r="I61" s="10">
        <v>-0.57250800000000002</v>
      </c>
      <c r="J61" s="10">
        <v>0.52538763385263332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-7.7591054224964304E-2</v>
      </c>
      <c r="E62" s="8">
        <v>9.4149999999999998E-2</v>
      </c>
      <c r="F62" s="8">
        <v>-2.4755696573245792E-2</v>
      </c>
      <c r="G62" s="8">
        <v>7.3126999999999998E-2</v>
      </c>
      <c r="H62" s="8">
        <v>5.2835357651718512E-2</v>
      </c>
      <c r="I62" s="8">
        <v>-2.1023E-2</v>
      </c>
      <c r="J62" s="8">
        <v>7.3858357651718512E-2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3.02757072927568E-2</v>
      </c>
      <c r="E63" s="10">
        <v>1.6372000000000001E-2</v>
      </c>
      <c r="F63" s="10">
        <v>5.6591800086873069E-2</v>
      </c>
      <c r="G63" s="10">
        <v>0.111161</v>
      </c>
      <c r="H63" s="10">
        <v>2.6316092794116269E-2</v>
      </c>
      <c r="I63" s="10">
        <v>9.4788999999999998E-2</v>
      </c>
      <c r="J63" s="10">
        <v>-6.8472907205883726E-2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0.59055959738244734</v>
      </c>
      <c r="E64" s="8">
        <v>0.33707300000000001</v>
      </c>
      <c r="F64" s="8">
        <v>0.48207801568259279</v>
      </c>
      <c r="G64" s="8">
        <v>3.6685000000000002E-2</v>
      </c>
      <c r="H64" s="8">
        <v>-0.10848158169985456</v>
      </c>
      <c r="I64" s="8">
        <v>-0.30038799999999999</v>
      </c>
      <c r="J64" s="8">
        <v>0.19190641830014543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0.43313338842207599</v>
      </c>
      <c r="E65" s="10">
        <v>0.2712</v>
      </c>
      <c r="F65" s="10">
        <v>0.36550519159553935</v>
      </c>
      <c r="G65" s="10">
        <v>9.7201999999999997E-2</v>
      </c>
      <c r="H65" s="10">
        <v>-6.7628196826536646E-2</v>
      </c>
      <c r="I65" s="10">
        <v>-0.17399799999999999</v>
      </c>
      <c r="J65" s="10">
        <v>0.10636980317346334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0.13873827117708201</v>
      </c>
      <c r="E66" s="8">
        <v>3.2065000000000003E-2</v>
      </c>
      <c r="F66" s="8">
        <v>9.745714358895563E-2</v>
      </c>
      <c r="G66" s="8">
        <v>3.5300000000000002E-3</v>
      </c>
      <c r="H66" s="8">
        <v>-4.1281127588126382E-2</v>
      </c>
      <c r="I66" s="8">
        <v>-2.8535000000000005E-2</v>
      </c>
      <c r="J66" s="8">
        <v>-1.2746127588126377E-2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0.37794053506920172</v>
      </c>
      <c r="E67" s="10">
        <v>0.24563599999999999</v>
      </c>
      <c r="F67" s="10">
        <v>0.31068930373362558</v>
      </c>
      <c r="G67" s="10">
        <v>7.9916000000000001E-2</v>
      </c>
      <c r="H67" s="10">
        <v>-6.7251231335576145E-2</v>
      </c>
      <c r="I67" s="10">
        <v>-0.16571999999999998</v>
      </c>
      <c r="J67" s="10">
        <v>9.8468768664423834E-2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0.21925464555285401</v>
      </c>
      <c r="E68" s="8">
        <v>8.1313999999999997E-2</v>
      </c>
      <c r="F68" s="8">
        <v>0.22630658656826819</v>
      </c>
      <c r="G68" s="8">
        <v>0.14954899999999999</v>
      </c>
      <c r="H68" s="8">
        <v>7.051941015414176E-3</v>
      </c>
      <c r="I68" s="8">
        <v>6.823499999999999E-2</v>
      </c>
      <c r="J68" s="8">
        <v>-6.1183058984585814E-2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0.25848424340746068</v>
      </c>
      <c r="E69" s="10">
        <v>-8.2865999999999995E-2</v>
      </c>
      <c r="F69" s="10">
        <v>0.25436498853242451</v>
      </c>
      <c r="G69" s="10">
        <v>4.7937E-2</v>
      </c>
      <c r="H69" s="10">
        <v>-4.1192548750361713E-3</v>
      </c>
      <c r="I69" s="10">
        <v>0.130803</v>
      </c>
      <c r="J69" s="10">
        <v>-0.13492225487503617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0.26360834233351721</v>
      </c>
      <c r="E70" s="8">
        <v>-0.168438</v>
      </c>
      <c r="F70" s="8">
        <v>0.36602994939705052</v>
      </c>
      <c r="G70" s="8">
        <v>0.142877</v>
      </c>
      <c r="H70" s="8">
        <v>0.10242160706353332</v>
      </c>
      <c r="I70" s="8">
        <v>0.31131500000000001</v>
      </c>
      <c r="J70" s="8">
        <v>-0.20889339293646669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0.1118369536335312</v>
      </c>
      <c r="E71" s="10">
        <v>6.3566999999999999E-2</v>
      </c>
      <c r="F71" s="10">
        <v>0.12348981720632926</v>
      </c>
      <c r="G71" s="10">
        <v>3.7657999999999997E-2</v>
      </c>
      <c r="H71" s="10">
        <v>1.1652863572798058E-2</v>
      </c>
      <c r="I71" s="10">
        <v>-2.5909000000000001E-2</v>
      </c>
      <c r="J71" s="10">
        <v>3.756186357279806E-2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0.1112268609068378</v>
      </c>
      <c r="E72" s="8">
        <v>2.8622000000000002E-2</v>
      </c>
      <c r="F72" s="8">
        <v>4.0704062744819712E-2</v>
      </c>
      <c r="G72" s="8">
        <v>5.9489E-2</v>
      </c>
      <c r="H72" s="8">
        <v>-7.0522798162018091E-2</v>
      </c>
      <c r="I72" s="8">
        <v>3.0866999999999999E-2</v>
      </c>
      <c r="J72" s="8">
        <v>-0.1013897981620181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0.67311566674955281</v>
      </c>
      <c r="E73" s="10">
        <v>0.35854399999999997</v>
      </c>
      <c r="F73" s="10">
        <v>0.60466790571537565</v>
      </c>
      <c r="G73" s="10">
        <v>0.14568600000000001</v>
      </c>
      <c r="H73" s="10">
        <v>-6.8447761034177157E-2</v>
      </c>
      <c r="I73" s="10">
        <v>-0.21285799999999996</v>
      </c>
      <c r="J73" s="10">
        <v>0.14441023896582281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0.4076849692900133</v>
      </c>
      <c r="E74" s="8">
        <v>0.22115000000000001</v>
      </c>
      <c r="F74" s="8">
        <v>0.38004434930590897</v>
      </c>
      <c r="G74" s="8">
        <v>-0.16395299999999999</v>
      </c>
      <c r="H74" s="8">
        <v>-2.7640619984104331E-2</v>
      </c>
      <c r="I74" s="8">
        <v>-0.38510299999999997</v>
      </c>
      <c r="J74" s="8">
        <v>0.35746238001589564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0.70039524268227538</v>
      </c>
      <c r="E75" s="10">
        <v>0.223581</v>
      </c>
      <c r="F75" s="10">
        <v>0.67246848270558823</v>
      </c>
      <c r="G75" s="10">
        <v>6.0359000000000003E-2</v>
      </c>
      <c r="H75" s="10">
        <v>-2.7926759976687143E-2</v>
      </c>
      <c r="I75" s="10">
        <v>-0.16322200000000001</v>
      </c>
      <c r="J75" s="10">
        <v>0.13529524002331286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0.1566104119420616</v>
      </c>
      <c r="E76" s="8">
        <v>0.11131199999999999</v>
      </c>
      <c r="F76" s="8">
        <v>0.19147221730304925</v>
      </c>
      <c r="G76" s="8">
        <v>-1.8539E-2</v>
      </c>
      <c r="H76" s="8">
        <v>3.4861805360987652E-2</v>
      </c>
      <c r="I76" s="8">
        <v>-0.12985099999999999</v>
      </c>
      <c r="J76" s="8">
        <v>0.16471280536098765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-0.17622054256240749</v>
      </c>
      <c r="E77" s="10">
        <v>-2.4718E-2</v>
      </c>
      <c r="F77" s="10">
        <v>-0.14312600339593534</v>
      </c>
      <c r="G77" s="10">
        <v>-5.2999999999999998E-4</v>
      </c>
      <c r="H77" s="10">
        <v>3.3094539166472148E-2</v>
      </c>
      <c r="I77" s="10">
        <v>2.4188000000000001E-2</v>
      </c>
      <c r="J77" s="10">
        <v>8.9065391664721466E-3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0.30454475362775152</v>
      </c>
      <c r="E78" s="8">
        <v>0.25606000000000001</v>
      </c>
      <c r="F78" s="8">
        <v>0.23559498171518198</v>
      </c>
      <c r="G78" s="8">
        <v>-0.10309599999999999</v>
      </c>
      <c r="H78" s="8">
        <v>-6.8949771912569541E-2</v>
      </c>
      <c r="I78" s="8">
        <v>-0.35915600000000003</v>
      </c>
      <c r="J78" s="8">
        <v>0.29020622808743046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0.1233562206637127</v>
      </c>
      <c r="E79" s="10">
        <v>4.3750000000000004E-3</v>
      </c>
      <c r="F79" s="10">
        <v>0.14578162992411453</v>
      </c>
      <c r="G79" s="10">
        <v>-7.4530000000000004E-3</v>
      </c>
      <c r="H79" s="10">
        <v>2.2425409260401832E-2</v>
      </c>
      <c r="I79" s="10">
        <v>-1.1828000000000002E-2</v>
      </c>
      <c r="J79" s="10">
        <v>3.4253409260401838E-2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0.17716402949153559</v>
      </c>
      <c r="E80" s="8">
        <v>-5.7009999999999998E-2</v>
      </c>
      <c r="F80" s="8">
        <v>0.11498284042630555</v>
      </c>
      <c r="G80" s="8">
        <v>7.9455999999999999E-2</v>
      </c>
      <c r="H80" s="8">
        <v>-6.2181189065230041E-2</v>
      </c>
      <c r="I80" s="8">
        <v>0.136466</v>
      </c>
      <c r="J80" s="8">
        <v>-0.19864718906523005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0.58518870590865313</v>
      </c>
      <c r="E81" s="10">
        <v>0.17669499999999999</v>
      </c>
      <c r="F81" s="10">
        <v>0.65998759789203365</v>
      </c>
      <c r="G81" s="10">
        <v>-1.6920000000000001E-2</v>
      </c>
      <c r="H81" s="10">
        <v>7.4798891983380522E-2</v>
      </c>
      <c r="I81" s="10">
        <v>-0.19361499999999998</v>
      </c>
      <c r="J81" s="10">
        <v>0.2684138919833805</v>
      </c>
      <c r="K81" s="11" t="b">
        <v>1</v>
      </c>
    </row>
    <row r="83" spans="1:11" x14ac:dyDescent="0.25">
      <c r="C83" t="s">
        <v>52</v>
      </c>
      <c r="D83">
        <f>MIN(D44:D81)</f>
        <v>-0.19734106358565209</v>
      </c>
      <c r="E83">
        <f t="shared" ref="E83:J83" si="0">MIN(E44:E81)</f>
        <v>-0.168438</v>
      </c>
      <c r="F83">
        <f t="shared" si="0"/>
        <v>-0.14312600339593534</v>
      </c>
      <c r="G83">
        <f t="shared" si="0"/>
        <v>-0.25957200000000002</v>
      </c>
      <c r="H83">
        <f t="shared" si="0"/>
        <v>-0.10848158169985456</v>
      </c>
      <c r="I83">
        <f t="shared" si="0"/>
        <v>-0.57250800000000002</v>
      </c>
      <c r="J83">
        <f t="shared" si="0"/>
        <v>-0.20889339293646669</v>
      </c>
    </row>
    <row r="84" spans="1:11" x14ac:dyDescent="0.25">
      <c r="C84" t="s">
        <v>53</v>
      </c>
      <c r="D84">
        <f>MAX(D44:D81)</f>
        <v>0.70039524268227538</v>
      </c>
      <c r="E84">
        <f t="shared" ref="E84:J84" si="1">MAX(E44:E81)</f>
        <v>0.35854399999999997</v>
      </c>
      <c r="F84">
        <f t="shared" si="1"/>
        <v>0.67246848270558823</v>
      </c>
      <c r="G84">
        <f t="shared" si="1"/>
        <v>0.217226</v>
      </c>
      <c r="H84">
        <f t="shared" si="1"/>
        <v>0.10242160706353332</v>
      </c>
      <c r="I84">
        <f t="shared" si="1"/>
        <v>0.31131500000000001</v>
      </c>
      <c r="J84">
        <f t="shared" si="1"/>
        <v>0.52538763385263332</v>
      </c>
    </row>
    <row r="85" spans="1:11" x14ac:dyDescent="0.25">
      <c r="C85" t="s">
        <v>54</v>
      </c>
      <c r="D85">
        <f>D84-D83</f>
        <v>0.89773630626792744</v>
      </c>
      <c r="E85">
        <f t="shared" ref="E85:J85" si="2">E84-E83</f>
        <v>0.52698199999999995</v>
      </c>
      <c r="F85">
        <f t="shared" si="2"/>
        <v>0.81559448610152363</v>
      </c>
      <c r="G85">
        <f t="shared" si="2"/>
        <v>0.47679800000000006</v>
      </c>
      <c r="H85">
        <f t="shared" si="2"/>
        <v>0.21090318876338787</v>
      </c>
      <c r="I85">
        <f t="shared" si="2"/>
        <v>0.88382300000000003</v>
      </c>
      <c r="J85">
        <f t="shared" si="2"/>
        <v>0.73428102678910001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0.19396598955423364</v>
      </c>
      <c r="E89">
        <f t="shared" ref="E89:J89" si="3">(E44-E$83)/E$85</f>
        <v>0.32681192146980359</v>
      </c>
      <c r="F89">
        <f t="shared" si="3"/>
        <v>0.15746499364081937</v>
      </c>
      <c r="G89">
        <f t="shared" si="3"/>
        <v>0.57748774113985368</v>
      </c>
      <c r="H89">
        <f t="shared" si="3"/>
        <v>0.55472803488177391</v>
      </c>
      <c r="I89">
        <f t="shared" si="3"/>
        <v>0.66132585370600216</v>
      </c>
      <c r="J89">
        <f t="shared" si="3"/>
        <v>0.2797549101709616</v>
      </c>
    </row>
    <row r="90" spans="1:11" x14ac:dyDescent="0.25">
      <c r="C90" s="18" t="s">
        <v>13</v>
      </c>
      <c r="D90">
        <f t="shared" ref="D90:J90" si="4">(D45-D$83)/D$85</f>
        <v>0.25721359510617831</v>
      </c>
      <c r="E90">
        <f t="shared" si="4"/>
        <v>0.4026418359640368</v>
      </c>
      <c r="F90">
        <f t="shared" si="4"/>
        <v>0.29981227047173609</v>
      </c>
      <c r="G90">
        <f t="shared" si="4"/>
        <v>0.62798921136414165</v>
      </c>
      <c r="H90">
        <f t="shared" si="4"/>
        <v>0.83598495970199538</v>
      </c>
      <c r="I90">
        <f t="shared" si="4"/>
        <v>0.64335619235978247</v>
      </c>
      <c r="J90">
        <f t="shared" si="4"/>
        <v>0.38216799121597689</v>
      </c>
    </row>
    <row r="91" spans="1:11" x14ac:dyDescent="0.25">
      <c r="C91" s="16" t="s">
        <v>14</v>
      </c>
      <c r="D91">
        <f t="shared" ref="D91:J91" si="5">(D46-D$83)/D$85</f>
        <v>0.782850923282991</v>
      </c>
      <c r="E91">
        <f t="shared" si="5"/>
        <v>0.503516249131849</v>
      </c>
      <c r="F91">
        <f t="shared" si="5"/>
        <v>0.83563159811604648</v>
      </c>
      <c r="G91">
        <f t="shared" si="5"/>
        <v>0.57026665380307806</v>
      </c>
      <c r="H91">
        <f t="shared" si="5"/>
        <v>0.67063694166044563</v>
      </c>
      <c r="I91">
        <f t="shared" si="5"/>
        <v>0.5520698148837494</v>
      </c>
      <c r="J91">
        <f t="shared" si="5"/>
        <v>0.44455360934864874</v>
      </c>
    </row>
    <row r="92" spans="1:11" x14ac:dyDescent="0.25">
      <c r="C92" s="18" t="s">
        <v>15</v>
      </c>
      <c r="D92">
        <f t="shared" ref="D92:J92" si="6">(D47-D$83)/D$85</f>
        <v>6.9264786829129801E-2</v>
      </c>
      <c r="E92">
        <f t="shared" si="6"/>
        <v>0.4238114394799064</v>
      </c>
      <c r="F92">
        <f t="shared" si="6"/>
        <v>0.10682178150560409</v>
      </c>
      <c r="G92">
        <f t="shared" si="6"/>
        <v>0.27802759239761909</v>
      </c>
      <c r="H92">
        <f t="shared" si="6"/>
        <v>0.88968964907010817</v>
      </c>
      <c r="I92">
        <f t="shared" si="6"/>
        <v>0.44193916655257898</v>
      </c>
      <c r="J92">
        <f t="shared" si="6"/>
        <v>0.64003042171789615</v>
      </c>
    </row>
    <row r="93" spans="1:11" x14ac:dyDescent="0.25">
      <c r="C93" s="16" t="s">
        <v>16</v>
      </c>
      <c r="D93">
        <f t="shared" ref="D93:J93" si="7">(D48-D$83)/D$85</f>
        <v>0.2712406435983078</v>
      </c>
      <c r="E93">
        <f t="shared" si="7"/>
        <v>0.40744845174977523</v>
      </c>
      <c r="F93">
        <f t="shared" si="7"/>
        <v>0.29501469275288267</v>
      </c>
      <c r="G93">
        <f t="shared" si="7"/>
        <v>0.54334539993875808</v>
      </c>
      <c r="H93">
        <f t="shared" si="7"/>
        <v>0.7577240821302329</v>
      </c>
      <c r="I93">
        <f t="shared" si="7"/>
        <v>0.59482724482164417</v>
      </c>
      <c r="J93">
        <f t="shared" si="7"/>
        <v>0.41810182363443682</v>
      </c>
    </row>
    <row r="94" spans="1:11" x14ac:dyDescent="0.25">
      <c r="C94" s="18" t="s">
        <v>17</v>
      </c>
      <c r="D94">
        <f t="shared" ref="D94:J94" si="8">(D49-D$83)/D$85</f>
        <v>0.52732004960855861</v>
      </c>
      <c r="E94">
        <f t="shared" si="8"/>
        <v>0.65278130941853807</v>
      </c>
      <c r="F94">
        <f t="shared" si="8"/>
        <v>0.51540514629689427</v>
      </c>
      <c r="G94">
        <f t="shared" si="8"/>
        <v>0.62043464947420079</v>
      </c>
      <c r="H94">
        <f t="shared" si="8"/>
        <v>0.51997262063254801</v>
      </c>
      <c r="I94">
        <f t="shared" si="8"/>
        <v>0.49013433685251462</v>
      </c>
      <c r="J94">
        <f t="shared" si="8"/>
        <v>0.47582830313008218</v>
      </c>
    </row>
    <row r="95" spans="1:11" x14ac:dyDescent="0.25">
      <c r="C95" s="16" t="s">
        <v>18</v>
      </c>
      <c r="D95">
        <f t="shared" ref="D95:J95" si="9">(D50-D$83)/D$85</f>
        <v>0.53766393960028991</v>
      </c>
      <c r="E95">
        <f t="shared" si="9"/>
        <v>0.58387573010083837</v>
      </c>
      <c r="F95">
        <f t="shared" si="9"/>
        <v>0.58481574010968895</v>
      </c>
      <c r="G95">
        <f t="shared" si="9"/>
        <v>1</v>
      </c>
      <c r="H95">
        <f t="shared" si="9"/>
        <v>0.74436378453392882</v>
      </c>
      <c r="I95">
        <f t="shared" si="9"/>
        <v>0.73598446747821689</v>
      </c>
      <c r="J95">
        <f t="shared" si="9"/>
        <v>0.24435944883311889</v>
      </c>
    </row>
    <row r="96" spans="1:11" x14ac:dyDescent="0.25">
      <c r="C96" s="18" t="s">
        <v>19</v>
      </c>
      <c r="D96">
        <f t="shared" ref="D96:J96" si="10">(D51-D$83)/D$85</f>
        <v>0.42382427232280784</v>
      </c>
      <c r="E96">
        <f t="shared" si="10"/>
        <v>0.69832555950677644</v>
      </c>
      <c r="F96">
        <f t="shared" si="10"/>
        <v>0.40539112044801573</v>
      </c>
      <c r="G96">
        <f t="shared" si="10"/>
        <v>0</v>
      </c>
      <c r="H96">
        <f t="shared" si="10"/>
        <v>0.53507473434328712</v>
      </c>
      <c r="I96">
        <f t="shared" si="10"/>
        <v>0.1282711583654193</v>
      </c>
      <c r="J96">
        <f t="shared" si="10"/>
        <v>0.91572538906069345</v>
      </c>
    </row>
    <row r="97" spans="3:10" x14ac:dyDescent="0.25">
      <c r="C97" s="16" t="s">
        <v>20</v>
      </c>
      <c r="D97">
        <f t="shared" ref="D97:J97" si="11">(D52-D$83)/D$85</f>
        <v>0.39445159320395201</v>
      </c>
      <c r="E97">
        <f t="shared" si="11"/>
        <v>0.37894463188496008</v>
      </c>
      <c r="F97">
        <f t="shared" si="11"/>
        <v>0.42491349956923363</v>
      </c>
      <c r="G97">
        <f t="shared" si="11"/>
        <v>0.69617322220311317</v>
      </c>
      <c r="H97">
        <f t="shared" si="11"/>
        <v>0.73559927582686835</v>
      </c>
      <c r="I97">
        <f t="shared" si="11"/>
        <v>0.69426910139247333</v>
      </c>
      <c r="J97">
        <f t="shared" si="11"/>
        <v>0.29205309184998396</v>
      </c>
    </row>
    <row r="98" spans="3:10" x14ac:dyDescent="0.25">
      <c r="C98" s="18" t="s">
        <v>21</v>
      </c>
      <c r="D98">
        <f t="shared" ref="D98:J98" si="12">(D53-D$83)/D$85</f>
        <v>0.45973787755506834</v>
      </c>
      <c r="E98">
        <f t="shared" si="12"/>
        <v>0.65298435240672359</v>
      </c>
      <c r="F98">
        <f t="shared" si="12"/>
        <v>0.43709410057987019</v>
      </c>
      <c r="G98">
        <f t="shared" si="12"/>
        <v>0.89086153884873676</v>
      </c>
      <c r="H98">
        <f t="shared" si="12"/>
        <v>0.50480410849414525</v>
      </c>
      <c r="I98">
        <f t="shared" si="12"/>
        <v>0.63590107974107946</v>
      </c>
      <c r="J98">
        <f t="shared" si="12"/>
        <v>0.29601828113327627</v>
      </c>
    </row>
    <row r="99" spans="3:10" x14ac:dyDescent="0.25">
      <c r="C99" s="16" t="s">
        <v>22</v>
      </c>
      <c r="D99">
        <f t="shared" ref="D99:J99" si="13">(D54-D$83)/D$85</f>
        <v>4.6528449363396299E-2</v>
      </c>
      <c r="E99">
        <f t="shared" si="13"/>
        <v>0.28969490419027599</v>
      </c>
      <c r="F99">
        <f t="shared" si="13"/>
        <v>5.1202752051496318E-2</v>
      </c>
      <c r="G99">
        <f t="shared" si="13"/>
        <v>0.82903661508647264</v>
      </c>
      <c r="H99">
        <f t="shared" si="13"/>
        <v>0.77138257995067094</v>
      </c>
      <c r="I99">
        <f t="shared" si="13"/>
        <v>0.8191606237900575</v>
      </c>
      <c r="J99">
        <f t="shared" si="13"/>
        <v>0.15200427769842856</v>
      </c>
    </row>
    <row r="100" spans="3:10" x14ac:dyDescent="0.25">
      <c r="C100" s="18" t="s">
        <v>23</v>
      </c>
      <c r="D100">
        <f t="shared" ref="D100:J100" si="14">(D55-D$83)/D$85</f>
        <v>0</v>
      </c>
      <c r="E100">
        <f t="shared" si="14"/>
        <v>0.26977012497580566</v>
      </c>
      <c r="F100">
        <f t="shared" si="14"/>
        <v>2.6479551913178367E-2</v>
      </c>
      <c r="G100">
        <f t="shared" si="14"/>
        <v>0.19903187513370449</v>
      </c>
      <c r="H100">
        <f t="shared" si="14"/>
        <v>0.87382850636344367</v>
      </c>
      <c r="I100">
        <f t="shared" si="14"/>
        <v>0.49117074346334055</v>
      </c>
      <c r="J100">
        <f t="shared" si="14"/>
        <v>0.5762167538376759</v>
      </c>
    </row>
    <row r="101" spans="3:10" x14ac:dyDescent="0.25">
      <c r="C101" s="16" t="s">
        <v>24</v>
      </c>
      <c r="D101">
        <f t="shared" ref="D101:J101" si="15">(D56-D$83)/D$85</f>
        <v>0.43507742485502748</v>
      </c>
      <c r="E101">
        <f t="shared" si="15"/>
        <v>0.48838670011499452</v>
      </c>
      <c r="F101">
        <f t="shared" si="15"/>
        <v>0.41846868599498416</v>
      </c>
      <c r="G101">
        <f t="shared" si="15"/>
        <v>0.41884613609956417</v>
      </c>
      <c r="H101">
        <f t="shared" si="15"/>
        <v>0.53774717740542832</v>
      </c>
      <c r="I101">
        <f t="shared" si="15"/>
        <v>0.47940368150636498</v>
      </c>
      <c r="J101">
        <f t="shared" si="15"/>
        <v>0.49384961951915052</v>
      </c>
    </row>
    <row r="102" spans="3:10" x14ac:dyDescent="0.25">
      <c r="C102" s="18" t="s">
        <v>25</v>
      </c>
      <c r="D102">
        <f t="shared" ref="D102:J102" si="16">(D57-D$83)/D$85</f>
        <v>0.45266047978793011</v>
      </c>
      <c r="E102">
        <f t="shared" si="16"/>
        <v>0.63664034065679664</v>
      </c>
      <c r="F102">
        <f t="shared" si="16"/>
        <v>0.42722748038466685</v>
      </c>
      <c r="G102">
        <f t="shared" si="16"/>
        <v>0.67870251133603743</v>
      </c>
      <c r="H102">
        <f t="shared" si="16"/>
        <v>0.4967742436631008</v>
      </c>
      <c r="I102">
        <f t="shared" si="16"/>
        <v>0.53119233149623846</v>
      </c>
      <c r="J102">
        <f t="shared" si="16"/>
        <v>0.41974540002543825</v>
      </c>
    </row>
    <row r="103" spans="3:10" x14ac:dyDescent="0.25">
      <c r="C103" s="16" t="s">
        <v>26</v>
      </c>
      <c r="D103">
        <f t="shared" ref="D103:J103" si="17">(D58-D$83)/D$85</f>
        <v>1.7303300779108032E-2</v>
      </c>
      <c r="E103">
        <f t="shared" si="17"/>
        <v>0.3649517440823406</v>
      </c>
      <c r="F103">
        <f t="shared" si="17"/>
        <v>7.4580747204313069E-3</v>
      </c>
      <c r="G103">
        <f t="shared" si="17"/>
        <v>0.57382581302773927</v>
      </c>
      <c r="H103">
        <f t="shared" si="17"/>
        <v>0.72661587565058094</v>
      </c>
      <c r="I103">
        <f t="shared" si="17"/>
        <v>0.63660936635502807</v>
      </c>
      <c r="J103">
        <f t="shared" si="17"/>
        <v>0.35887542616991491</v>
      </c>
    </row>
    <row r="104" spans="3:10" x14ac:dyDescent="0.25">
      <c r="C104" s="18" t="s">
        <v>27</v>
      </c>
      <c r="D104">
        <f t="shared" ref="D104:J104" si="18">(D59-D$83)/D$85</f>
        <v>0.19425331414754779</v>
      </c>
      <c r="E104">
        <f t="shared" si="18"/>
        <v>0.31059884398328597</v>
      </c>
      <c r="F104">
        <f t="shared" si="18"/>
        <v>7.1577128483750946E-2</v>
      </c>
      <c r="G104">
        <f t="shared" si="18"/>
        <v>0.5887944160839601</v>
      </c>
      <c r="H104">
        <f t="shared" si="18"/>
        <v>0.22136365392347543</v>
      </c>
      <c r="I104">
        <f t="shared" si="18"/>
        <v>0.67709258528008431</v>
      </c>
      <c r="J104">
        <f t="shared" si="18"/>
        <v>0.16502688657947895</v>
      </c>
    </row>
    <row r="105" spans="3:10" x14ac:dyDescent="0.25">
      <c r="C105" s="16" t="s">
        <v>28</v>
      </c>
      <c r="D105">
        <f t="shared" ref="D105:J105" si="19">(D60-D$83)/D$85</f>
        <v>0.6358046615916555</v>
      </c>
      <c r="E105">
        <f t="shared" si="19"/>
        <v>0.37894652948298052</v>
      </c>
      <c r="F105">
        <f t="shared" si="19"/>
        <v>0.65935412351152101</v>
      </c>
      <c r="G105">
        <f t="shared" si="19"/>
        <v>0.49628354145780812</v>
      </c>
      <c r="H105">
        <f t="shared" si="19"/>
        <v>0.61486647863884691</v>
      </c>
      <c r="I105">
        <f t="shared" si="19"/>
        <v>0.58643303014291315</v>
      </c>
      <c r="J105">
        <f t="shared" si="19"/>
        <v>0.38717344160237349</v>
      </c>
    </row>
    <row r="106" spans="3:10" x14ac:dyDescent="0.25">
      <c r="C106" s="18" t="s">
        <v>29</v>
      </c>
      <c r="D106">
        <f t="shared" ref="D106:J106" si="20">(D61-D$83)/D$85</f>
        <v>0.78988398003078442</v>
      </c>
      <c r="E106">
        <f t="shared" si="20"/>
        <v>0.91368206124687379</v>
      </c>
      <c r="F106">
        <f t="shared" si="20"/>
        <v>0.74518907451307626</v>
      </c>
      <c r="G106">
        <f t="shared" si="20"/>
        <v>2.5167890804912978E-4</v>
      </c>
      <c r="H106">
        <f t="shared" si="20"/>
        <v>0.29094493977200608</v>
      </c>
      <c r="I106">
        <f t="shared" si="20"/>
        <v>0</v>
      </c>
      <c r="J106">
        <f t="shared" si="20"/>
        <v>1</v>
      </c>
    </row>
    <row r="107" spans="3:10" x14ac:dyDescent="0.25">
      <c r="C107" s="16" t="s">
        <v>30</v>
      </c>
      <c r="D107">
        <f t="shared" ref="D107:J107" si="21">(D62-D$83)/D$85</f>
        <v>0.13339107321894217</v>
      </c>
      <c r="E107">
        <f t="shared" si="21"/>
        <v>0.49828646898755558</v>
      </c>
      <c r="F107">
        <f t="shared" si="21"/>
        <v>0.14513377522755228</v>
      </c>
      <c r="G107">
        <f t="shared" si="21"/>
        <v>0.69777767524192635</v>
      </c>
      <c r="H107">
        <f t="shared" si="21"/>
        <v>0.76488620346349723</v>
      </c>
      <c r="I107">
        <f t="shared" si="21"/>
        <v>0.62397674647525581</v>
      </c>
      <c r="J107">
        <f t="shared" si="21"/>
        <v>0.38507293566417733</v>
      </c>
    </row>
    <row r="108" spans="3:10" x14ac:dyDescent="0.25">
      <c r="C108" s="18" t="s">
        <v>31</v>
      </c>
      <c r="D108">
        <f t="shared" ref="D108:J108" si="22">(D63-D$83)/D$85</f>
        <v>0.253545244064661</v>
      </c>
      <c r="E108">
        <f t="shared" si="22"/>
        <v>0.35069509015488198</v>
      </c>
      <c r="F108">
        <f t="shared" si="22"/>
        <v>0.24487390104541232</v>
      </c>
      <c r="G108">
        <f t="shared" si="22"/>
        <v>0.77754730514809201</v>
      </c>
      <c r="H108">
        <f t="shared" si="22"/>
        <v>0.63914479095524834</v>
      </c>
      <c r="I108">
        <f t="shared" si="22"/>
        <v>0.75501203295229924</v>
      </c>
      <c r="J108">
        <f t="shared" si="22"/>
        <v>0.19123534533449751</v>
      </c>
    </row>
    <row r="109" spans="3:10" x14ac:dyDescent="0.25">
      <c r="C109" s="16" t="s">
        <v>32</v>
      </c>
      <c r="D109">
        <f t="shared" ref="D109:J109" si="23">(D64-D$83)/D$85</f>
        <v>0.87765266422560406</v>
      </c>
      <c r="E109">
        <f t="shared" si="23"/>
        <v>0.95925667290343897</v>
      </c>
      <c r="F109">
        <f t="shared" si="23"/>
        <v>0.76656234162022518</v>
      </c>
      <c r="G109">
        <f t="shared" si="23"/>
        <v>0.62134698551587886</v>
      </c>
      <c r="H109">
        <f t="shared" si="23"/>
        <v>0</v>
      </c>
      <c r="I109">
        <f t="shared" si="23"/>
        <v>0.30788970189732562</v>
      </c>
      <c r="J109">
        <f t="shared" si="23"/>
        <v>0.54583980330970716</v>
      </c>
    </row>
    <row r="110" spans="3:10" x14ac:dyDescent="0.25">
      <c r="C110" s="18" t="s">
        <v>33</v>
      </c>
      <c r="D110">
        <f t="shared" ref="D110:J110" si="24">(D65-D$83)/D$85</f>
        <v>0.70229358844663281</v>
      </c>
      <c r="E110">
        <f t="shared" si="24"/>
        <v>0.83425619850393373</v>
      </c>
      <c r="F110">
        <f t="shared" si="24"/>
        <v>0.62363245909458154</v>
      </c>
      <c r="G110">
        <f t="shared" si="24"/>
        <v>0.74827075616927918</v>
      </c>
      <c r="H110">
        <f t="shared" si="24"/>
        <v>0.19370681454774633</v>
      </c>
      <c r="I110">
        <f t="shared" si="24"/>
        <v>0.45089344812253135</v>
      </c>
      <c r="J110">
        <f t="shared" si="24"/>
        <v>0.42934950599027238</v>
      </c>
    </row>
    <row r="111" spans="3:10" x14ac:dyDescent="0.25">
      <c r="C111" s="16" t="s">
        <v>34</v>
      </c>
      <c r="D111">
        <f t="shared" ref="D111:J111" si="25">(D66-D$83)/D$85</f>
        <v>0.37436308681764729</v>
      </c>
      <c r="E111">
        <f t="shared" si="25"/>
        <v>0.38047409588942321</v>
      </c>
      <c r="F111">
        <f t="shared" si="25"/>
        <v>0.29497887870093281</v>
      </c>
      <c r="G111">
        <f t="shared" si="25"/>
        <v>0.55181020054614316</v>
      </c>
      <c r="H111">
        <f t="shared" si="25"/>
        <v>0.31863175946154287</v>
      </c>
      <c r="I111">
        <f t="shared" si="25"/>
        <v>0.61547730710787119</v>
      </c>
      <c r="J111">
        <f t="shared" si="25"/>
        <v>0.26712833124132684</v>
      </c>
    </row>
    <row r="112" spans="3:10" x14ac:dyDescent="0.25">
      <c r="C112" s="18" t="s">
        <v>35</v>
      </c>
      <c r="D112">
        <f t="shared" ref="D112:J112" si="26">(D67-D$83)/D$85</f>
        <v>0.64081356032754933</v>
      </c>
      <c r="E112">
        <f t="shared" si="26"/>
        <v>0.78574600270977002</v>
      </c>
      <c r="F112">
        <f t="shared" si="26"/>
        <v>0.55642272583126662</v>
      </c>
      <c r="G112">
        <f t="shared" si="26"/>
        <v>0.71201640946480471</v>
      </c>
      <c r="H112">
        <f t="shared" si="26"/>
        <v>0.19549420094607819</v>
      </c>
      <c r="I112">
        <f t="shared" si="26"/>
        <v>0.46025957686097785</v>
      </c>
      <c r="J112">
        <f t="shared" si="26"/>
        <v>0.41858927357137199</v>
      </c>
    </row>
    <row r="113" spans="3:10" x14ac:dyDescent="0.25">
      <c r="C113" s="16" t="s">
        <v>36</v>
      </c>
      <c r="D113">
        <f t="shared" ref="D113:J113" si="27">(D68-D$83)/D$85</f>
        <v>0.46405131020085311</v>
      </c>
      <c r="E113">
        <f t="shared" si="27"/>
        <v>0.47392890079737071</v>
      </c>
      <c r="F113">
        <f t="shared" si="27"/>
        <v>0.45296111763832753</v>
      </c>
      <c r="G113">
        <f t="shared" si="27"/>
        <v>0.85805938783300262</v>
      </c>
      <c r="H113">
        <f t="shared" si="27"/>
        <v>0.54780358415958186</v>
      </c>
      <c r="I113">
        <f t="shared" si="27"/>
        <v>0.72496755572099847</v>
      </c>
      <c r="J113">
        <f t="shared" si="27"/>
        <v>0.20116321757324421</v>
      </c>
    </row>
    <row r="114" spans="3:10" x14ac:dyDescent="0.25">
      <c r="C114" s="18" t="s">
        <v>37</v>
      </c>
      <c r="D114">
        <f t="shared" ref="D114:J114" si="28">(D69-D$83)/D$85</f>
        <v>0.50774966302529456</v>
      </c>
      <c r="E114">
        <f t="shared" si="28"/>
        <v>0.16238125780387189</v>
      </c>
      <c r="F114">
        <f t="shared" si="28"/>
        <v>0.48736351054595156</v>
      </c>
      <c r="G114">
        <f t="shared" si="28"/>
        <v>0.64494607779395052</v>
      </c>
      <c r="H114">
        <f t="shared" si="28"/>
        <v>0.49483522480972253</v>
      </c>
      <c r="I114">
        <f t="shared" si="28"/>
        <v>0.79576001077138747</v>
      </c>
      <c r="J114">
        <f t="shared" si="28"/>
        <v>0.10073954707081992</v>
      </c>
    </row>
    <row r="115" spans="3:10" x14ac:dyDescent="0.25">
      <c r="C115" s="16" t="s">
        <v>38</v>
      </c>
      <c r="D115">
        <f t="shared" ref="D115:J115" si="29">(D70-D$83)/D$85</f>
        <v>0.5134574626211007</v>
      </c>
      <c r="E115">
        <f t="shared" si="29"/>
        <v>0</v>
      </c>
      <c r="F115">
        <f t="shared" si="29"/>
        <v>0.62427586437803251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0</v>
      </c>
    </row>
    <row r="116" spans="3:10" x14ac:dyDescent="0.25">
      <c r="C116" s="18" t="s">
        <v>39</v>
      </c>
      <c r="D116">
        <f t="shared" ref="D116:J116" si="30">(D71-D$83)/D$85</f>
        <v>0.34439736374760116</v>
      </c>
      <c r="E116">
        <f t="shared" si="30"/>
        <v>0.44025222872887504</v>
      </c>
      <c r="F116">
        <f t="shared" si="30"/>
        <v>0.32689752707459674</v>
      </c>
      <c r="G116">
        <f t="shared" si="30"/>
        <v>0.62338768199531025</v>
      </c>
      <c r="H116">
        <f t="shared" si="30"/>
        <v>0.56961891366863759</v>
      </c>
      <c r="I116">
        <f t="shared" si="30"/>
        <v>0.61844849025200754</v>
      </c>
      <c r="J116">
        <f t="shared" si="30"/>
        <v>0.33564159704217927</v>
      </c>
    </row>
    <row r="117" spans="3:10" x14ac:dyDescent="0.25">
      <c r="C117" s="16" t="s">
        <v>41</v>
      </c>
      <c r="D117">
        <f t="shared" ref="D117:J117" si="31">(D72-D$83)/D$85</f>
        <v>0.34371777362471789</v>
      </c>
      <c r="E117">
        <f t="shared" si="31"/>
        <v>0.37394066590509739</v>
      </c>
      <c r="F117">
        <f t="shared" si="31"/>
        <v>0.22539395407078838</v>
      </c>
      <c r="G117">
        <f t="shared" si="31"/>
        <v>0.66917436734214486</v>
      </c>
      <c r="H117">
        <f t="shared" si="31"/>
        <v>0.17998202758528414</v>
      </c>
      <c r="I117">
        <f t="shared" si="31"/>
        <v>0.68268759695097314</v>
      </c>
      <c r="J117">
        <f t="shared" si="31"/>
        <v>0.14640660844056611</v>
      </c>
    </row>
    <row r="118" spans="3:10" x14ac:dyDescent="0.25">
      <c r="C118" s="18" t="s">
        <v>42</v>
      </c>
      <c r="D118">
        <f t="shared" ref="D118:J118" si="32">(D73-D$83)/D$85</f>
        <v>0.96961293005277982</v>
      </c>
      <c r="E118">
        <f t="shared" si="32"/>
        <v>1</v>
      </c>
      <c r="F118">
        <f t="shared" si="32"/>
        <v>0.91686974575527858</v>
      </c>
      <c r="G118">
        <f t="shared" si="32"/>
        <v>0.84995742431805499</v>
      </c>
      <c r="H118">
        <f t="shared" si="32"/>
        <v>0.18982084102384678</v>
      </c>
      <c r="I118">
        <f t="shared" si="32"/>
        <v>0.40692536854098615</v>
      </c>
      <c r="J118">
        <f t="shared" si="32"/>
        <v>0.48115587767156798</v>
      </c>
    </row>
    <row r="119" spans="3:10" x14ac:dyDescent="0.25">
      <c r="C119" s="16" t="s">
        <v>43</v>
      </c>
      <c r="D119">
        <f t="shared" ref="D119:J119" si="33">(D74-D$83)/D$85</f>
        <v>0.67394626757480902</v>
      </c>
      <c r="E119">
        <f t="shared" si="33"/>
        <v>0.73928141758162536</v>
      </c>
      <c r="F119">
        <f t="shared" si="33"/>
        <v>0.64145891324321813</v>
      </c>
      <c r="G119">
        <f t="shared" si="33"/>
        <v>0.20054404590623287</v>
      </c>
      <c r="H119">
        <f t="shared" si="33"/>
        <v>0.3833083899288296</v>
      </c>
      <c r="I119">
        <f t="shared" si="33"/>
        <v>0.21203906211990414</v>
      </c>
      <c r="J119">
        <f t="shared" si="33"/>
        <v>0.77130656014489507</v>
      </c>
    </row>
    <row r="120" spans="3:10" x14ac:dyDescent="0.25">
      <c r="C120" s="18" t="s">
        <v>44</v>
      </c>
      <c r="D120">
        <f t="shared" ref="D120:J120" si="34">(D75-D$83)/D$85</f>
        <v>1</v>
      </c>
      <c r="E120">
        <f t="shared" si="34"/>
        <v>0.74389447836928024</v>
      </c>
      <c r="F120">
        <f t="shared" si="34"/>
        <v>1</v>
      </c>
      <c r="G120">
        <f t="shared" si="34"/>
        <v>0.67099903942550088</v>
      </c>
      <c r="H120">
        <f t="shared" si="34"/>
        <v>0.38195165372080653</v>
      </c>
      <c r="I120">
        <f t="shared" si="34"/>
        <v>0.46308593462718217</v>
      </c>
      <c r="J120">
        <f t="shared" si="34"/>
        <v>0.46874237574251976</v>
      </c>
    </row>
    <row r="121" spans="3:10" x14ac:dyDescent="0.25">
      <c r="C121" s="16" t="s">
        <v>45</v>
      </c>
      <c r="D121">
        <f t="shared" ref="D121:J121" si="35">(D76-D$83)/D$85</f>
        <v>0.3942710939241858</v>
      </c>
      <c r="E121">
        <f t="shared" si="35"/>
        <v>0.53085304621410223</v>
      </c>
      <c r="F121">
        <f t="shared" si="35"/>
        <v>0.4102507145411653</v>
      </c>
      <c r="G121">
        <f t="shared" si="35"/>
        <v>0.505524352031678</v>
      </c>
      <c r="H121">
        <f t="shared" si="35"/>
        <v>0.67966438962503806</v>
      </c>
      <c r="I121">
        <f t="shared" si="35"/>
        <v>0.50084349468162748</v>
      </c>
      <c r="J121">
        <f t="shared" si="35"/>
        <v>0.50880546366719814</v>
      </c>
    </row>
    <row r="122" spans="3:10" x14ac:dyDescent="0.25">
      <c r="C122" s="18" t="s">
        <v>46</v>
      </c>
      <c r="D122">
        <f t="shared" ref="D122:J122" si="36">(D77-D$83)/D$85</f>
        <v>2.3526419590900707E-2</v>
      </c>
      <c r="E122">
        <f t="shared" si="36"/>
        <v>0.27272278749558815</v>
      </c>
      <c r="F122">
        <f t="shared" si="36"/>
        <v>0</v>
      </c>
      <c r="G122">
        <f t="shared" si="36"/>
        <v>0.54329506415714834</v>
      </c>
      <c r="H122">
        <f t="shared" si="36"/>
        <v>0.67128487575956397</v>
      </c>
      <c r="I122">
        <f t="shared" si="36"/>
        <v>0.67513065398841166</v>
      </c>
      <c r="J122">
        <f t="shared" si="36"/>
        <v>0.2966165870516157</v>
      </c>
    </row>
    <row r="123" spans="3:10" x14ac:dyDescent="0.25">
      <c r="C123" s="16" t="s">
        <v>47</v>
      </c>
      <c r="D123">
        <f t="shared" ref="D123:J123" si="37">(D78-D$83)/D$85</f>
        <v>0.55905705685430629</v>
      </c>
      <c r="E123">
        <f t="shared" si="37"/>
        <v>0.80552656447468807</v>
      </c>
      <c r="F123">
        <f t="shared" si="37"/>
        <v>0.46434961437928951</v>
      </c>
      <c r="G123">
        <f t="shared" si="37"/>
        <v>0.32818090679910572</v>
      </c>
      <c r="H123">
        <f t="shared" si="37"/>
        <v>0.18744055042067537</v>
      </c>
      <c r="I123">
        <f t="shared" si="37"/>
        <v>0.24139675025429297</v>
      </c>
      <c r="J123">
        <f t="shared" si="37"/>
        <v>0.67971199420252537</v>
      </c>
    </row>
    <row r="124" spans="3:10" x14ac:dyDescent="0.25">
      <c r="C124" s="18" t="s">
        <v>48</v>
      </c>
      <c r="D124">
        <f t="shared" ref="D124:J124" si="38">(D79-D$83)/D$85</f>
        <v>0.35722882321933558</v>
      </c>
      <c r="E124">
        <f t="shared" si="38"/>
        <v>0.32792960670383431</v>
      </c>
      <c r="F124">
        <f t="shared" si="38"/>
        <v>0.35422950773123202</v>
      </c>
      <c r="G124">
        <f t="shared" si="38"/>
        <v>0.52877528848694832</v>
      </c>
      <c r="H124">
        <f t="shared" si="38"/>
        <v>0.62069706829857763</v>
      </c>
      <c r="I124">
        <f t="shared" si="38"/>
        <v>0.63438041327279338</v>
      </c>
      <c r="J124">
        <f t="shared" si="38"/>
        <v>0.33113589119973963</v>
      </c>
    </row>
    <row r="125" spans="3:10" x14ac:dyDescent="0.25">
      <c r="C125" s="16" t="s">
        <v>49</v>
      </c>
      <c r="D125">
        <f t="shared" ref="D125:J125" si="39">(D80-D$83)/D$85</f>
        <v>0.41716603245565687</v>
      </c>
      <c r="E125">
        <f t="shared" si="39"/>
        <v>0.21144555221999994</v>
      </c>
      <c r="F125">
        <f t="shared" si="39"/>
        <v>0.31646712701060609</v>
      </c>
      <c r="G125">
        <f t="shared" si="39"/>
        <v>0.71105164031728307</v>
      </c>
      <c r="H125">
        <f t="shared" si="39"/>
        <v>0.21953386720278037</v>
      </c>
      <c r="I125">
        <f t="shared" si="39"/>
        <v>0.80216740229661365</v>
      </c>
      <c r="J125">
        <f t="shared" si="39"/>
        <v>1.3954063222962125E-2</v>
      </c>
    </row>
    <row r="126" spans="3:10" x14ac:dyDescent="0.25">
      <c r="C126" s="18" t="s">
        <v>51</v>
      </c>
      <c r="D126">
        <f t="shared" ref="D126:J126" si="40">(D81-D$83)/D$85</f>
        <v>0.87166995924164048</v>
      </c>
      <c r="E126">
        <f t="shared" si="40"/>
        <v>0.65492369758359881</v>
      </c>
      <c r="F126">
        <f t="shared" si="40"/>
        <v>0.98469719324218052</v>
      </c>
      <c r="G126">
        <f t="shared" si="40"/>
        <v>0.5089199199661073</v>
      </c>
      <c r="H126">
        <f t="shared" si="40"/>
        <v>0.86902656502200781</v>
      </c>
      <c r="I126">
        <f t="shared" si="40"/>
        <v>0.42869782750618624</v>
      </c>
      <c r="J126">
        <f t="shared" si="40"/>
        <v>0.65003352600167241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2465-9D80-4797-BD19-67063A6D35C3}">
  <sheetPr codeName="Sheet5"/>
  <dimension ref="A1:K126"/>
  <sheetViews>
    <sheetView tabSelected="1" topLeftCell="A75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-0.11609412849380241</v>
      </c>
      <c r="E2">
        <v>3.7859999999999999E-3</v>
      </c>
      <c r="F2">
        <v>0.14399967029331481</v>
      </c>
      <c r="G2">
        <v>1.5772999999999999E-2</v>
      </c>
      <c r="H2">
        <v>0.26009379878711725</v>
      </c>
      <c r="I2">
        <v>1.1986999999999999E-2</v>
      </c>
      <c r="J2">
        <v>0.24810679878711725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0.35012456539953107</v>
      </c>
      <c r="E3">
        <v>4.3747000000000001E-2</v>
      </c>
      <c r="F3">
        <v>5.5728137500050082E-2</v>
      </c>
      <c r="G3">
        <v>3.9851999999999999E-2</v>
      </c>
      <c r="H3">
        <v>-0.29439642789948101</v>
      </c>
      <c r="I3">
        <v>-3.8950000000000026E-3</v>
      </c>
      <c r="J3">
        <v>-0.29050142789948102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-0.15566119498423089</v>
      </c>
      <c r="E4">
        <v>9.6906000000000006E-2</v>
      </c>
      <c r="F4">
        <v>9.892818945058228E-2</v>
      </c>
      <c r="G4">
        <v>1.2330000000000001E-2</v>
      </c>
      <c r="H4">
        <v>0.25458938443481316</v>
      </c>
      <c r="I4">
        <v>-8.4576000000000012E-2</v>
      </c>
      <c r="J4">
        <v>0.33916538443481314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0.31828028800656138</v>
      </c>
      <c r="E5">
        <v>5.4903E-2</v>
      </c>
      <c r="F5">
        <v>2.5708593200561299E-2</v>
      </c>
      <c r="G5">
        <v>-0.12700900000000001</v>
      </c>
      <c r="H5">
        <v>-0.29257169480600009</v>
      </c>
      <c r="I5">
        <v>-0.18191200000000002</v>
      </c>
      <c r="J5">
        <v>-0.11065969480600008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0.1675473069507141</v>
      </c>
      <c r="E6">
        <v>4.6280000000000002E-2</v>
      </c>
      <c r="F6">
        <v>6.4362557862280317E-2</v>
      </c>
      <c r="G6">
        <v>-5.0600000000000005E-4</v>
      </c>
      <c r="H6">
        <v>-0.10318474908843378</v>
      </c>
      <c r="I6">
        <v>-4.6786000000000001E-2</v>
      </c>
      <c r="J6">
        <v>-5.6398749088433779E-2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0.61197108855250149</v>
      </c>
      <c r="E7">
        <v>0.175566</v>
      </c>
      <c r="F7">
        <v>0.11939545509720845</v>
      </c>
      <c r="G7">
        <v>3.6249999999999998E-2</v>
      </c>
      <c r="H7">
        <v>-0.49257563345529304</v>
      </c>
      <c r="I7">
        <v>-0.139316</v>
      </c>
      <c r="J7">
        <v>-0.35325963345529304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0.53095055722848927</v>
      </c>
      <c r="E8">
        <v>0.13925399999999999</v>
      </c>
      <c r="F8">
        <v>0.50037361519361157</v>
      </c>
      <c r="G8">
        <v>0.217226</v>
      </c>
      <c r="H8">
        <v>-3.0576942034877708E-2</v>
      </c>
      <c r="I8">
        <v>7.7972000000000014E-2</v>
      </c>
      <c r="J8">
        <v>-0.10854894203487772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0.49150577501874038</v>
      </c>
      <c r="E9">
        <v>0.19956699999999999</v>
      </c>
      <c r="F9">
        <v>-7.5933375769022093E-2</v>
      </c>
      <c r="G9">
        <v>-0.25957200000000002</v>
      </c>
      <c r="H9">
        <v>-0.56743915078776253</v>
      </c>
      <c r="I9">
        <v>-0.45913900000000002</v>
      </c>
      <c r="J9">
        <v>-0.10830015078776251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0.15610930924109701</v>
      </c>
      <c r="E10">
        <v>3.1259000000000002E-2</v>
      </c>
      <c r="F10">
        <v>0.19157148884627254</v>
      </c>
      <c r="G10">
        <v>7.2361999999999996E-2</v>
      </c>
      <c r="H10">
        <v>3.5462179605175531E-2</v>
      </c>
      <c r="I10">
        <v>4.1102999999999994E-2</v>
      </c>
      <c r="J10">
        <v>-5.6408203948244626E-3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0.64004280609807762</v>
      </c>
      <c r="E11">
        <v>0.175673</v>
      </c>
      <c r="F11">
        <v>0.62903308373897604</v>
      </c>
      <c r="G11">
        <v>0.165189</v>
      </c>
      <c r="H11">
        <v>-1.1009722359101581E-2</v>
      </c>
      <c r="I11">
        <v>-1.0483999999999993E-2</v>
      </c>
      <c r="J11">
        <v>-5.2572235910158804E-4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0.59872990891856726</v>
      </c>
      <c r="E12">
        <v>-1.5774E-2</v>
      </c>
      <c r="F12">
        <v>0.22631614920983334</v>
      </c>
      <c r="G12">
        <v>0.135711</v>
      </c>
      <c r="H12">
        <v>-0.37241375970873392</v>
      </c>
      <c r="I12">
        <v>0.15148500000000001</v>
      </c>
      <c r="J12">
        <v>-0.5238987597087339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0.1137180181341875</v>
      </c>
      <c r="E13">
        <v>-2.6273999999999999E-2</v>
      </c>
      <c r="F13">
        <v>0.20281601546287795</v>
      </c>
      <c r="G13">
        <v>-0.16467399999999999</v>
      </c>
      <c r="H13">
        <v>8.9097997328690448E-2</v>
      </c>
      <c r="I13">
        <v>-0.1384</v>
      </c>
      <c r="J13">
        <v>0.22749799732869044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-5.5183853379350001E-3</v>
      </c>
      <c r="E14">
        <v>8.8932999999999998E-2</v>
      </c>
      <c r="F14">
        <v>0.3965805606768959</v>
      </c>
      <c r="G14">
        <v>-5.9866999999999997E-2</v>
      </c>
      <c r="H14">
        <v>0.40209894601483087</v>
      </c>
      <c r="I14">
        <v>-0.14879999999999999</v>
      </c>
      <c r="J14">
        <v>0.5508989460148308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-8.4110997210340599E-2</v>
      </c>
      <c r="E15">
        <v>0.16705999999999999</v>
      </c>
      <c r="F15">
        <v>8.4492687040641792E-2</v>
      </c>
      <c r="G15">
        <v>6.4032000000000006E-2</v>
      </c>
      <c r="H15">
        <v>0.16860368425098238</v>
      </c>
      <c r="I15">
        <v>-0.10302799999999998</v>
      </c>
      <c r="J15">
        <v>0.27163168425098239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-0.1405608701805269</v>
      </c>
      <c r="E16">
        <v>2.3885E-2</v>
      </c>
      <c r="F16">
        <v>-1.1705728169393727E-2</v>
      </c>
      <c r="G16">
        <v>1.4027E-2</v>
      </c>
      <c r="H16">
        <v>0.12885514201113318</v>
      </c>
      <c r="I16">
        <v>-9.8580000000000004E-3</v>
      </c>
      <c r="J16">
        <v>0.13871314201113319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0.32294816501379248</v>
      </c>
      <c r="E17">
        <v>-4.7580000000000001E-3</v>
      </c>
      <c r="F17">
        <v>0.46805172318228377</v>
      </c>
      <c r="G17">
        <v>2.1163999999999999E-2</v>
      </c>
      <c r="H17">
        <v>0.1451035581684913</v>
      </c>
      <c r="I17">
        <v>2.5922000000000001E-2</v>
      </c>
      <c r="J17">
        <v>0.1191815581684913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0.21047153015523851</v>
      </c>
      <c r="E18">
        <v>3.1260000000000003E-2</v>
      </c>
      <c r="F18">
        <v>-0.19021513364956782</v>
      </c>
      <c r="G18">
        <v>-2.2945E-2</v>
      </c>
      <c r="H18">
        <v>-0.40068666380480633</v>
      </c>
      <c r="I18">
        <v>-5.4205000000000003E-2</v>
      </c>
      <c r="J18">
        <v>-0.34648166380480633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1.3686389882979282</v>
      </c>
      <c r="E19">
        <v>0.313056</v>
      </c>
      <c r="F19">
        <v>0.4588988606750426</v>
      </c>
      <c r="G19">
        <v>-0.25945200000000002</v>
      </c>
      <c r="H19">
        <v>-0.90974012762288559</v>
      </c>
      <c r="I19">
        <v>-0.57250800000000002</v>
      </c>
      <c r="J19">
        <v>-0.33723212762288557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1.4769927107476499</v>
      </c>
      <c r="E20">
        <v>9.4149999999999998E-2</v>
      </c>
      <c r="F20">
        <v>0.80815381828468014</v>
      </c>
      <c r="G20">
        <v>7.3126999999999998E-2</v>
      </c>
      <c r="H20">
        <v>-0.66883889246296979</v>
      </c>
      <c r="I20">
        <v>-2.1023E-2</v>
      </c>
      <c r="J20">
        <v>-0.64781589246296978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-0.29825491684372318</v>
      </c>
      <c r="E21">
        <v>1.6372000000000001E-2</v>
      </c>
      <c r="F21">
        <v>0.10012329410953658</v>
      </c>
      <c r="G21">
        <v>0.111161</v>
      </c>
      <c r="H21">
        <v>0.39837821095325976</v>
      </c>
      <c r="I21">
        <v>9.4788999999999998E-2</v>
      </c>
      <c r="J21">
        <v>0.30358921095325975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1.4089181127007986</v>
      </c>
      <c r="E22">
        <v>0.33707300000000001</v>
      </c>
      <c r="F22">
        <v>0.50469754919835652</v>
      </c>
      <c r="G22">
        <v>3.6685000000000002E-2</v>
      </c>
      <c r="H22">
        <v>-0.90422056350244207</v>
      </c>
      <c r="I22">
        <v>-0.30038799999999999</v>
      </c>
      <c r="J22">
        <v>-0.60383256350244208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1.1392005452316851</v>
      </c>
      <c r="E23">
        <v>0.2712</v>
      </c>
      <c r="F23">
        <v>0.7353627253294025</v>
      </c>
      <c r="G23">
        <v>9.7201999999999997E-2</v>
      </c>
      <c r="H23">
        <v>-0.40383781990228262</v>
      </c>
      <c r="I23">
        <v>-0.17399799999999999</v>
      </c>
      <c r="J23">
        <v>-0.22983981990228264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0.53334741821980014</v>
      </c>
      <c r="E24">
        <v>3.2065000000000003E-2</v>
      </c>
      <c r="F24">
        <v>0.86930302401259507</v>
      </c>
      <c r="G24">
        <v>3.5300000000000002E-3</v>
      </c>
      <c r="H24">
        <v>0.33595560579279493</v>
      </c>
      <c r="I24">
        <v>-2.8535000000000005E-2</v>
      </c>
      <c r="J24">
        <v>0.36449060579279491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0.90555420925370123</v>
      </c>
      <c r="E25">
        <v>0.24563599999999999</v>
      </c>
      <c r="F25">
        <v>0.72084863460474391</v>
      </c>
      <c r="G25">
        <v>7.9916000000000001E-2</v>
      </c>
      <c r="H25">
        <v>-0.18470557464895732</v>
      </c>
      <c r="I25">
        <v>-0.16571999999999998</v>
      </c>
      <c r="J25">
        <v>-1.8985574648957337E-2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-0.27566412596952289</v>
      </c>
      <c r="E26">
        <v>8.1313999999999997E-2</v>
      </c>
      <c r="F26">
        <v>0.35189226916645694</v>
      </c>
      <c r="G26">
        <v>0.14954899999999999</v>
      </c>
      <c r="H26">
        <v>0.62755639513597983</v>
      </c>
      <c r="I26">
        <v>6.823499999999999E-2</v>
      </c>
      <c r="J26">
        <v>0.55932139513597989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0.1067006296663247</v>
      </c>
      <c r="E27">
        <v>-8.2865999999999995E-2</v>
      </c>
      <c r="F27">
        <v>0.53098011733061612</v>
      </c>
      <c r="G27">
        <v>4.7937E-2</v>
      </c>
      <c r="H27">
        <v>0.42427948766429141</v>
      </c>
      <c r="I27">
        <v>0.130803</v>
      </c>
      <c r="J27">
        <v>0.29347648766429141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1.0599296918160439</v>
      </c>
      <c r="E28">
        <v>-0.168438</v>
      </c>
      <c r="F28">
        <v>1.2214966398249119</v>
      </c>
      <c r="G28">
        <v>0.142877</v>
      </c>
      <c r="H28">
        <v>0.16156694800886795</v>
      </c>
      <c r="I28">
        <v>0.31131500000000001</v>
      </c>
      <c r="J28">
        <v>-0.14974805199113206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-3.9234262208091598E-2</v>
      </c>
      <c r="E29">
        <v>6.3566999999999999E-2</v>
      </c>
      <c r="F29">
        <v>-0.16448241568793887</v>
      </c>
      <c r="G29">
        <v>3.7657999999999997E-2</v>
      </c>
      <c r="H29">
        <v>-0.12524815347984727</v>
      </c>
      <c r="I29">
        <v>-2.5909000000000001E-2</v>
      </c>
      <c r="J29">
        <v>-9.9339153479847273E-2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1.5988108671966927</v>
      </c>
      <c r="G30">
        <v>0.70438599999999996</v>
      </c>
      <c r="H30">
        <v>-0.40118913280330726</v>
      </c>
      <c r="I30">
        <v>-0.10781600000000002</v>
      </c>
      <c r="J30">
        <v>-0.29337313280330723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0.51478765899086121</v>
      </c>
      <c r="E31">
        <v>2.8622000000000002E-2</v>
      </c>
      <c r="F31">
        <v>0.80940221553493841</v>
      </c>
      <c r="G31">
        <v>5.9489E-2</v>
      </c>
      <c r="H31">
        <v>0.2946145565440772</v>
      </c>
      <c r="I31">
        <v>3.0866999999999999E-2</v>
      </c>
      <c r="J31">
        <v>0.26374755654407722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1.2253615590735376</v>
      </c>
      <c r="E32">
        <v>0.35854399999999997</v>
      </c>
      <c r="F32">
        <v>0.64999834410625579</v>
      </c>
      <c r="G32">
        <v>0.14568600000000001</v>
      </c>
      <c r="H32">
        <v>-0.57536321496728182</v>
      </c>
      <c r="I32">
        <v>-0.21285799999999996</v>
      </c>
      <c r="J32">
        <v>-0.36250521496728183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7.6244717166572204E-2</v>
      </c>
      <c r="E33">
        <v>0.22115000000000001</v>
      </c>
      <c r="F33">
        <v>0.14790221711575752</v>
      </c>
      <c r="G33">
        <v>-0.16395299999999999</v>
      </c>
      <c r="H33">
        <v>7.1657499949185313E-2</v>
      </c>
      <c r="I33">
        <v>-0.38510299999999997</v>
      </c>
      <c r="J33">
        <v>0.45676049994918527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1.3995814710352532</v>
      </c>
      <c r="E34">
        <v>0.223581</v>
      </c>
      <c r="F34">
        <v>0.43951541907972891</v>
      </c>
      <c r="G34">
        <v>6.0359000000000003E-2</v>
      </c>
      <c r="H34">
        <v>-0.9600660519555243</v>
      </c>
      <c r="I34">
        <v>-0.16322200000000001</v>
      </c>
      <c r="J34">
        <v>-0.79684405195552432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1.0960481291617541</v>
      </c>
      <c r="E35">
        <v>0.11131199999999999</v>
      </c>
      <c r="F35">
        <v>0.58000210604431879</v>
      </c>
      <c r="G35">
        <v>-1.8539E-2</v>
      </c>
      <c r="H35">
        <v>-0.5160460231174353</v>
      </c>
      <c r="I35">
        <v>-0.12985099999999999</v>
      </c>
      <c r="J35">
        <v>-0.38619502311743531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0.39539131730053079</v>
      </c>
      <c r="E36">
        <v>-2.4718E-2</v>
      </c>
      <c r="F36">
        <v>0.15141500549639125</v>
      </c>
      <c r="G36">
        <v>-5.2999999999999998E-4</v>
      </c>
      <c r="H36">
        <v>-0.24397631180413953</v>
      </c>
      <c r="I36">
        <v>2.4188000000000001E-2</v>
      </c>
      <c r="J36">
        <v>-0.26816431180413952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1.1327711959349551</v>
      </c>
      <c r="E37">
        <v>0.25606000000000001</v>
      </c>
      <c r="F37">
        <v>0.4793844033880556</v>
      </c>
      <c r="G37">
        <v>-0.10309599999999999</v>
      </c>
      <c r="H37">
        <v>-0.65338679254689946</v>
      </c>
      <c r="I37">
        <v>-0.35915600000000003</v>
      </c>
      <c r="J37">
        <v>-0.29423079254689943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0.2045511831779443</v>
      </c>
      <c r="E38">
        <v>4.3750000000000004E-3</v>
      </c>
      <c r="F38">
        <v>7.2782534965723733E-2</v>
      </c>
      <c r="G38">
        <v>-7.4530000000000004E-3</v>
      </c>
      <c r="H38">
        <v>-0.13176864821222056</v>
      </c>
      <c r="I38">
        <v>-1.1828000000000002E-2</v>
      </c>
      <c r="J38">
        <v>-0.11994064821222056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-0.35532389251418728</v>
      </c>
      <c r="E39">
        <v>-5.7009999999999998E-2</v>
      </c>
      <c r="F39">
        <v>-3.4379037760594727E-2</v>
      </c>
      <c r="G39">
        <v>7.9455999999999999E-2</v>
      </c>
      <c r="H39">
        <v>0.32094485475359258</v>
      </c>
      <c r="I39">
        <v>0.136466</v>
      </c>
      <c r="J39">
        <v>0.18447885475359257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1.0986119178032716</v>
      </c>
      <c r="G40">
        <v>0.99823200000000001</v>
      </c>
      <c r="H40">
        <v>-0.90138808219672839</v>
      </c>
      <c r="I40">
        <v>-8.2908999999999899E-2</v>
      </c>
      <c r="J40">
        <v>-0.81847908219672849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-0.3406693965696701</v>
      </c>
      <c r="E41">
        <v>0.17669499999999999</v>
      </c>
      <c r="F41">
        <v>-0.54468031947922046</v>
      </c>
      <c r="G41">
        <v>-1.6920000000000001E-2</v>
      </c>
      <c r="H41">
        <v>-0.20401092290955036</v>
      </c>
      <c r="I41">
        <v>-0.19361499999999998</v>
      </c>
      <c r="J41">
        <v>-1.0395922909550381E-2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-0.11609412849380241</v>
      </c>
      <c r="E44" s="8">
        <v>3.7859999999999999E-3</v>
      </c>
      <c r="F44" s="8">
        <v>0.14399967029331481</v>
      </c>
      <c r="G44" s="8">
        <v>1.5772999999999999E-2</v>
      </c>
      <c r="H44" s="8">
        <v>0.26009379878711725</v>
      </c>
      <c r="I44" s="8">
        <v>1.1986999999999999E-2</v>
      </c>
      <c r="J44" s="8">
        <v>0.24810679878711725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0.35012456539953107</v>
      </c>
      <c r="E45" s="10">
        <v>4.3747000000000001E-2</v>
      </c>
      <c r="F45" s="10">
        <v>5.5728137500050082E-2</v>
      </c>
      <c r="G45" s="10">
        <v>3.9851999999999999E-2</v>
      </c>
      <c r="H45" s="10">
        <v>-0.29439642789948101</v>
      </c>
      <c r="I45" s="10">
        <v>-3.8950000000000026E-3</v>
      </c>
      <c r="J45" s="10">
        <v>-0.29050142789948102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-0.15566119498423089</v>
      </c>
      <c r="E46" s="8">
        <v>9.6906000000000006E-2</v>
      </c>
      <c r="F46" s="8">
        <v>9.892818945058228E-2</v>
      </c>
      <c r="G46" s="8">
        <v>1.2330000000000001E-2</v>
      </c>
      <c r="H46" s="8">
        <v>0.25458938443481316</v>
      </c>
      <c r="I46" s="8">
        <v>-8.4576000000000012E-2</v>
      </c>
      <c r="J46" s="8">
        <v>0.33916538443481314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0.31828028800656138</v>
      </c>
      <c r="E47" s="10">
        <v>5.4903E-2</v>
      </c>
      <c r="F47" s="10">
        <v>2.5708593200561299E-2</v>
      </c>
      <c r="G47" s="10">
        <v>-0.12700900000000001</v>
      </c>
      <c r="H47" s="10">
        <v>-0.29257169480600009</v>
      </c>
      <c r="I47" s="10">
        <v>-0.18191200000000002</v>
      </c>
      <c r="J47" s="10">
        <v>-0.11065969480600008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0.1675473069507141</v>
      </c>
      <c r="E48" s="8">
        <v>4.6280000000000002E-2</v>
      </c>
      <c r="F48" s="8">
        <v>6.4362557862280317E-2</v>
      </c>
      <c r="G48" s="8">
        <v>-5.0600000000000005E-4</v>
      </c>
      <c r="H48" s="8">
        <v>-0.10318474908843378</v>
      </c>
      <c r="I48" s="8">
        <v>-4.6786000000000001E-2</v>
      </c>
      <c r="J48" s="8">
        <v>-5.6398749088433779E-2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0.61197108855250149</v>
      </c>
      <c r="E49" s="10">
        <v>0.175566</v>
      </c>
      <c r="F49" s="10">
        <v>0.11939545509720845</v>
      </c>
      <c r="G49" s="10">
        <v>3.6249999999999998E-2</v>
      </c>
      <c r="H49" s="10">
        <v>-0.49257563345529304</v>
      </c>
      <c r="I49" s="10">
        <v>-0.139316</v>
      </c>
      <c r="J49" s="10">
        <v>-0.35325963345529304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0.53095055722848927</v>
      </c>
      <c r="E50" s="8">
        <v>0.13925399999999999</v>
      </c>
      <c r="F50" s="8">
        <v>0.50037361519361157</v>
      </c>
      <c r="G50" s="8">
        <v>0.217226</v>
      </c>
      <c r="H50" s="8">
        <v>-3.0576942034877708E-2</v>
      </c>
      <c r="I50" s="8">
        <v>7.7972000000000014E-2</v>
      </c>
      <c r="J50" s="8">
        <v>-0.10854894203487772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0.49150577501874038</v>
      </c>
      <c r="E51" s="10">
        <v>0.19956699999999999</v>
      </c>
      <c r="F51" s="10">
        <v>-7.5933375769022093E-2</v>
      </c>
      <c r="G51" s="10">
        <v>-0.25957200000000002</v>
      </c>
      <c r="H51" s="10">
        <v>-0.56743915078776253</v>
      </c>
      <c r="I51" s="10">
        <v>-0.45913900000000002</v>
      </c>
      <c r="J51" s="10">
        <v>-0.10830015078776251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0.15610930924109701</v>
      </c>
      <c r="E52" s="8">
        <v>3.1259000000000002E-2</v>
      </c>
      <c r="F52" s="8">
        <v>0.19157148884627254</v>
      </c>
      <c r="G52" s="8">
        <v>7.2361999999999996E-2</v>
      </c>
      <c r="H52" s="8">
        <v>3.5462179605175531E-2</v>
      </c>
      <c r="I52" s="8">
        <v>4.1102999999999994E-2</v>
      </c>
      <c r="J52" s="8">
        <v>-5.6408203948244626E-3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0.64004280609807762</v>
      </c>
      <c r="E53" s="10">
        <v>0.175673</v>
      </c>
      <c r="F53" s="10">
        <v>0.62903308373897604</v>
      </c>
      <c r="G53" s="10">
        <v>0.165189</v>
      </c>
      <c r="H53" s="10">
        <v>-1.1009722359101581E-2</v>
      </c>
      <c r="I53" s="10">
        <v>-1.0483999999999993E-2</v>
      </c>
      <c r="J53" s="10">
        <v>-5.2572235910158804E-4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0.59872990891856726</v>
      </c>
      <c r="E54" s="8">
        <v>-1.5774E-2</v>
      </c>
      <c r="F54" s="8">
        <v>0.22631614920983334</v>
      </c>
      <c r="G54" s="8">
        <v>0.135711</v>
      </c>
      <c r="H54" s="8">
        <v>-0.37241375970873392</v>
      </c>
      <c r="I54" s="8">
        <v>0.15148500000000001</v>
      </c>
      <c r="J54" s="8">
        <v>-0.5238987597087339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0.1137180181341875</v>
      </c>
      <c r="E55" s="10">
        <v>-2.6273999999999999E-2</v>
      </c>
      <c r="F55" s="10">
        <v>0.20281601546287795</v>
      </c>
      <c r="G55" s="10">
        <v>-0.16467399999999999</v>
      </c>
      <c r="H55" s="10">
        <v>8.9097997328690448E-2</v>
      </c>
      <c r="I55" s="10">
        <v>-0.1384</v>
      </c>
      <c r="J55" s="10">
        <v>0.22749799732869044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-5.5183853379350001E-3</v>
      </c>
      <c r="E56" s="8">
        <v>8.8932999999999998E-2</v>
      </c>
      <c r="F56" s="8">
        <v>0.3965805606768959</v>
      </c>
      <c r="G56" s="8">
        <v>-5.9866999999999997E-2</v>
      </c>
      <c r="H56" s="8">
        <v>0.40209894601483087</v>
      </c>
      <c r="I56" s="8">
        <v>-0.14879999999999999</v>
      </c>
      <c r="J56" s="8">
        <v>0.5508989460148308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-8.4110997210340599E-2</v>
      </c>
      <c r="E57" s="10">
        <v>0.16705999999999999</v>
      </c>
      <c r="F57" s="10">
        <v>8.4492687040641792E-2</v>
      </c>
      <c r="G57" s="10">
        <v>6.4032000000000006E-2</v>
      </c>
      <c r="H57" s="10">
        <v>0.16860368425098238</v>
      </c>
      <c r="I57" s="10">
        <v>-0.10302799999999998</v>
      </c>
      <c r="J57" s="10">
        <v>0.27163168425098239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-0.1405608701805269</v>
      </c>
      <c r="E58" s="8">
        <v>2.3885E-2</v>
      </c>
      <c r="F58" s="8">
        <v>-1.1705728169393727E-2</v>
      </c>
      <c r="G58" s="8">
        <v>1.4027E-2</v>
      </c>
      <c r="H58" s="8">
        <v>0.12885514201113318</v>
      </c>
      <c r="I58" s="8">
        <v>-9.8580000000000004E-3</v>
      </c>
      <c r="J58" s="8">
        <v>0.13871314201113319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0.32294816501379248</v>
      </c>
      <c r="E59" s="10">
        <v>-4.7580000000000001E-3</v>
      </c>
      <c r="F59" s="10">
        <v>0.46805172318228377</v>
      </c>
      <c r="G59" s="10">
        <v>2.1163999999999999E-2</v>
      </c>
      <c r="H59" s="10">
        <v>0.1451035581684913</v>
      </c>
      <c r="I59" s="10">
        <v>2.5922000000000001E-2</v>
      </c>
      <c r="J59" s="10">
        <v>0.1191815581684913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0.21047153015523851</v>
      </c>
      <c r="E60" s="8">
        <v>3.1260000000000003E-2</v>
      </c>
      <c r="F60" s="8">
        <v>-0.19021513364956782</v>
      </c>
      <c r="G60" s="8">
        <v>-2.2945E-2</v>
      </c>
      <c r="H60" s="8">
        <v>-0.40068666380480633</v>
      </c>
      <c r="I60" s="8">
        <v>-5.4205000000000003E-2</v>
      </c>
      <c r="J60" s="8">
        <v>-0.34648166380480633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1.3686389882979282</v>
      </c>
      <c r="E61" s="10">
        <v>0.313056</v>
      </c>
      <c r="F61" s="10">
        <v>0.4588988606750426</v>
      </c>
      <c r="G61" s="10">
        <v>-0.25945200000000002</v>
      </c>
      <c r="H61" s="10">
        <v>-0.90974012762288559</v>
      </c>
      <c r="I61" s="10">
        <v>-0.57250800000000002</v>
      </c>
      <c r="J61" s="10">
        <v>-0.33723212762288557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1.4769927107476499</v>
      </c>
      <c r="E62" s="8">
        <v>9.4149999999999998E-2</v>
      </c>
      <c r="F62" s="8">
        <v>0.80815381828468014</v>
      </c>
      <c r="G62" s="8">
        <v>7.3126999999999998E-2</v>
      </c>
      <c r="H62" s="8">
        <v>-0.66883889246296979</v>
      </c>
      <c r="I62" s="8">
        <v>-2.1023E-2</v>
      </c>
      <c r="J62" s="8">
        <v>-0.64781589246296978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-0.29825491684372318</v>
      </c>
      <c r="E63" s="10">
        <v>1.6372000000000001E-2</v>
      </c>
      <c r="F63" s="10">
        <v>0.10012329410953658</v>
      </c>
      <c r="G63" s="10">
        <v>0.111161</v>
      </c>
      <c r="H63" s="10">
        <v>0.39837821095325976</v>
      </c>
      <c r="I63" s="10">
        <v>9.4788999999999998E-2</v>
      </c>
      <c r="J63" s="10">
        <v>0.30358921095325975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1.4089181127007986</v>
      </c>
      <c r="E64" s="8">
        <v>0.33707300000000001</v>
      </c>
      <c r="F64" s="8">
        <v>0.50469754919835652</v>
      </c>
      <c r="G64" s="8">
        <v>3.6685000000000002E-2</v>
      </c>
      <c r="H64" s="8">
        <v>-0.90422056350244207</v>
      </c>
      <c r="I64" s="8">
        <v>-0.30038799999999999</v>
      </c>
      <c r="J64" s="8">
        <v>-0.60383256350244208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1.1392005452316851</v>
      </c>
      <c r="E65" s="10">
        <v>0.2712</v>
      </c>
      <c r="F65" s="10">
        <v>0.7353627253294025</v>
      </c>
      <c r="G65" s="10">
        <v>9.7201999999999997E-2</v>
      </c>
      <c r="H65" s="10">
        <v>-0.40383781990228262</v>
      </c>
      <c r="I65" s="10">
        <v>-0.17399799999999999</v>
      </c>
      <c r="J65" s="10">
        <v>-0.22983981990228264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0.53334741821980014</v>
      </c>
      <c r="E66" s="8">
        <v>3.2065000000000003E-2</v>
      </c>
      <c r="F66" s="8">
        <v>0.86930302401259507</v>
      </c>
      <c r="G66" s="8">
        <v>3.5300000000000002E-3</v>
      </c>
      <c r="H66" s="8">
        <v>0.33595560579279493</v>
      </c>
      <c r="I66" s="8">
        <v>-2.8535000000000005E-2</v>
      </c>
      <c r="J66" s="8">
        <v>0.36449060579279491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0.90555420925370123</v>
      </c>
      <c r="E67" s="10">
        <v>0.24563599999999999</v>
      </c>
      <c r="F67" s="10">
        <v>0.72084863460474391</v>
      </c>
      <c r="G67" s="10">
        <v>7.9916000000000001E-2</v>
      </c>
      <c r="H67" s="10">
        <v>-0.18470557464895732</v>
      </c>
      <c r="I67" s="10">
        <v>-0.16571999999999998</v>
      </c>
      <c r="J67" s="10">
        <v>-1.8985574648957337E-2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-0.27566412596952289</v>
      </c>
      <c r="E68" s="8">
        <v>8.1313999999999997E-2</v>
      </c>
      <c r="F68" s="8">
        <v>0.35189226916645694</v>
      </c>
      <c r="G68" s="8">
        <v>0.14954899999999999</v>
      </c>
      <c r="H68" s="8">
        <v>0.62755639513597983</v>
      </c>
      <c r="I68" s="8">
        <v>6.823499999999999E-2</v>
      </c>
      <c r="J68" s="8">
        <v>0.55932139513597989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0.1067006296663247</v>
      </c>
      <c r="E69" s="10">
        <v>-8.2865999999999995E-2</v>
      </c>
      <c r="F69" s="10">
        <v>0.53098011733061612</v>
      </c>
      <c r="G69" s="10">
        <v>4.7937E-2</v>
      </c>
      <c r="H69" s="10">
        <v>0.42427948766429141</v>
      </c>
      <c r="I69" s="10">
        <v>0.130803</v>
      </c>
      <c r="J69" s="10">
        <v>0.29347648766429141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1.0599296918160439</v>
      </c>
      <c r="E70" s="8">
        <v>-0.168438</v>
      </c>
      <c r="F70" s="8">
        <v>1.2214966398249119</v>
      </c>
      <c r="G70" s="8">
        <v>0.142877</v>
      </c>
      <c r="H70" s="8">
        <v>0.16156694800886795</v>
      </c>
      <c r="I70" s="8">
        <v>0.31131500000000001</v>
      </c>
      <c r="J70" s="8">
        <v>-0.14974805199113206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-3.9234262208091598E-2</v>
      </c>
      <c r="E71" s="10">
        <v>6.3566999999999999E-2</v>
      </c>
      <c r="F71" s="10">
        <v>-0.16448241568793887</v>
      </c>
      <c r="G71" s="10">
        <v>3.7657999999999997E-2</v>
      </c>
      <c r="H71" s="10">
        <v>-0.12524815347984727</v>
      </c>
      <c r="I71" s="10">
        <v>-2.5909000000000001E-2</v>
      </c>
      <c r="J71" s="10">
        <v>-9.9339153479847273E-2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0.51478765899086121</v>
      </c>
      <c r="E72" s="8">
        <v>2.8622000000000002E-2</v>
      </c>
      <c r="F72" s="8">
        <v>0.80940221553493841</v>
      </c>
      <c r="G72" s="8">
        <v>5.9489E-2</v>
      </c>
      <c r="H72" s="8">
        <v>0.2946145565440772</v>
      </c>
      <c r="I72" s="8">
        <v>3.0866999999999999E-2</v>
      </c>
      <c r="J72" s="8">
        <v>0.26374755654407722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1.2253615590735376</v>
      </c>
      <c r="E73" s="10">
        <v>0.35854399999999997</v>
      </c>
      <c r="F73" s="10">
        <v>0.64999834410625579</v>
      </c>
      <c r="G73" s="10">
        <v>0.14568600000000001</v>
      </c>
      <c r="H73" s="10">
        <v>-0.57536321496728182</v>
      </c>
      <c r="I73" s="10">
        <v>-0.21285799999999996</v>
      </c>
      <c r="J73" s="10">
        <v>-0.36250521496728183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7.6244717166572204E-2</v>
      </c>
      <c r="E74" s="8">
        <v>0.22115000000000001</v>
      </c>
      <c r="F74" s="8">
        <v>0.14790221711575752</v>
      </c>
      <c r="G74" s="8">
        <v>-0.16395299999999999</v>
      </c>
      <c r="H74" s="8">
        <v>7.1657499949185313E-2</v>
      </c>
      <c r="I74" s="8">
        <v>-0.38510299999999997</v>
      </c>
      <c r="J74" s="8">
        <v>0.45676049994918527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1.3995814710352532</v>
      </c>
      <c r="E75" s="10">
        <v>0.223581</v>
      </c>
      <c r="F75" s="10">
        <v>0.43951541907972891</v>
      </c>
      <c r="G75" s="10">
        <v>6.0359000000000003E-2</v>
      </c>
      <c r="H75" s="10">
        <v>-0.9600660519555243</v>
      </c>
      <c r="I75" s="10">
        <v>-0.16322200000000001</v>
      </c>
      <c r="J75" s="10">
        <v>-0.79684405195552432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1.0960481291617541</v>
      </c>
      <c r="E76" s="8">
        <v>0.11131199999999999</v>
      </c>
      <c r="F76" s="8">
        <v>0.58000210604431879</v>
      </c>
      <c r="G76" s="8">
        <v>-1.8539E-2</v>
      </c>
      <c r="H76" s="8">
        <v>-0.5160460231174353</v>
      </c>
      <c r="I76" s="8">
        <v>-0.12985099999999999</v>
      </c>
      <c r="J76" s="8">
        <v>-0.38619502311743531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0.39539131730053079</v>
      </c>
      <c r="E77" s="10">
        <v>-2.4718E-2</v>
      </c>
      <c r="F77" s="10">
        <v>0.15141500549639125</v>
      </c>
      <c r="G77" s="10">
        <v>-5.2999999999999998E-4</v>
      </c>
      <c r="H77" s="10">
        <v>-0.24397631180413953</v>
      </c>
      <c r="I77" s="10">
        <v>2.4188000000000001E-2</v>
      </c>
      <c r="J77" s="10">
        <v>-0.26816431180413952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1.1327711959349551</v>
      </c>
      <c r="E78" s="8">
        <v>0.25606000000000001</v>
      </c>
      <c r="F78" s="8">
        <v>0.4793844033880556</v>
      </c>
      <c r="G78" s="8">
        <v>-0.10309599999999999</v>
      </c>
      <c r="H78" s="8">
        <v>-0.65338679254689946</v>
      </c>
      <c r="I78" s="8">
        <v>-0.35915600000000003</v>
      </c>
      <c r="J78" s="8">
        <v>-0.29423079254689943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0.2045511831779443</v>
      </c>
      <c r="E79" s="10">
        <v>4.3750000000000004E-3</v>
      </c>
      <c r="F79" s="10">
        <v>7.2782534965723733E-2</v>
      </c>
      <c r="G79" s="10">
        <v>-7.4530000000000004E-3</v>
      </c>
      <c r="H79" s="10">
        <v>-0.13176864821222056</v>
      </c>
      <c r="I79" s="10">
        <v>-1.1828000000000002E-2</v>
      </c>
      <c r="J79" s="10">
        <v>-0.11994064821222056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-0.35532389251418728</v>
      </c>
      <c r="E80" s="8">
        <v>-5.7009999999999998E-2</v>
      </c>
      <c r="F80" s="8">
        <v>-3.4379037760594727E-2</v>
      </c>
      <c r="G80" s="8">
        <v>7.9455999999999999E-2</v>
      </c>
      <c r="H80" s="8">
        <v>0.32094485475359258</v>
      </c>
      <c r="I80" s="8">
        <v>0.136466</v>
      </c>
      <c r="J80" s="8">
        <v>0.18447885475359257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-0.3406693965696701</v>
      </c>
      <c r="E81" s="10">
        <v>0.17669499999999999</v>
      </c>
      <c r="F81" s="10">
        <v>-0.54468031947922046</v>
      </c>
      <c r="G81" s="10">
        <v>-1.6920000000000001E-2</v>
      </c>
      <c r="H81" s="10">
        <v>-0.20401092290955036</v>
      </c>
      <c r="I81" s="10">
        <v>-0.19361499999999998</v>
      </c>
      <c r="J81" s="10">
        <v>-1.0395922909550381E-2</v>
      </c>
      <c r="K81" s="11" t="b">
        <v>1</v>
      </c>
    </row>
    <row r="83" spans="1:11" x14ac:dyDescent="0.25">
      <c r="C83" t="s">
        <v>52</v>
      </c>
      <c r="D83">
        <f>MIN(D44:D81)</f>
        <v>-0.35532389251418728</v>
      </c>
      <c r="E83">
        <f t="shared" ref="E83:J83" si="0">MIN(E44:E81)</f>
        <v>-0.168438</v>
      </c>
      <c r="F83">
        <f t="shared" si="0"/>
        <v>-0.54468031947922046</v>
      </c>
      <c r="G83">
        <f t="shared" si="0"/>
        <v>-0.25957200000000002</v>
      </c>
      <c r="H83">
        <f t="shared" si="0"/>
        <v>-0.9600660519555243</v>
      </c>
      <c r="I83">
        <f t="shared" si="0"/>
        <v>-0.57250800000000002</v>
      </c>
      <c r="J83">
        <f t="shared" si="0"/>
        <v>-0.79684405195552432</v>
      </c>
    </row>
    <row r="84" spans="1:11" x14ac:dyDescent="0.25">
      <c r="C84" t="s">
        <v>53</v>
      </c>
      <c r="D84">
        <f>MAX(D44:D81)</f>
        <v>1.4769927107476499</v>
      </c>
      <c r="E84">
        <f t="shared" ref="E84:J84" si="1">MAX(E44:E81)</f>
        <v>0.35854399999999997</v>
      </c>
      <c r="F84">
        <f t="shared" si="1"/>
        <v>1.2214966398249119</v>
      </c>
      <c r="G84">
        <f t="shared" si="1"/>
        <v>0.217226</v>
      </c>
      <c r="H84">
        <f t="shared" si="1"/>
        <v>0.62755639513597983</v>
      </c>
      <c r="I84">
        <f t="shared" si="1"/>
        <v>0.31131500000000001</v>
      </c>
      <c r="J84">
        <f t="shared" si="1"/>
        <v>0.55932139513597989</v>
      </c>
    </row>
    <row r="85" spans="1:11" x14ac:dyDescent="0.25">
      <c r="C85" t="s">
        <v>54</v>
      </c>
      <c r="D85">
        <f>D84-D83</f>
        <v>1.8323166032618372</v>
      </c>
      <c r="E85">
        <f t="shared" ref="E85:J85" si="2">E84-E83</f>
        <v>0.52698199999999995</v>
      </c>
      <c r="F85">
        <f t="shared" si="2"/>
        <v>1.7661769593041323</v>
      </c>
      <c r="G85">
        <f t="shared" si="2"/>
        <v>0.47679800000000006</v>
      </c>
      <c r="H85">
        <f t="shared" si="2"/>
        <v>1.5876224470915041</v>
      </c>
      <c r="I85">
        <f t="shared" si="2"/>
        <v>0.88382300000000003</v>
      </c>
      <c r="J85">
        <f t="shared" si="2"/>
        <v>1.3561654470915041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0.13056136892200559</v>
      </c>
      <c r="E89">
        <f t="shared" ref="E89:J89" si="3">(E44-E$83)/E$85</f>
        <v>0.32681192146980359</v>
      </c>
      <c r="F89">
        <f t="shared" si="3"/>
        <v>0.38992694709587472</v>
      </c>
      <c r="G89">
        <f t="shared" si="3"/>
        <v>0.57748774113985368</v>
      </c>
      <c r="H89">
        <f t="shared" si="3"/>
        <v>0.76854535092896448</v>
      </c>
      <c r="I89">
        <f t="shared" si="3"/>
        <v>0.66132585370600216</v>
      </c>
      <c r="J89">
        <f t="shared" si="3"/>
        <v>0.77051870992856508</v>
      </c>
    </row>
    <row r="90" spans="1:11" x14ac:dyDescent="0.25">
      <c r="C90" s="18" t="s">
        <v>13</v>
      </c>
      <c r="D90">
        <f t="shared" ref="D90:J90" si="4">(D45-D$83)/D$85</f>
        <v>0.38500358325515327</v>
      </c>
      <c r="E90">
        <f t="shared" si="4"/>
        <v>0.4026418359640368</v>
      </c>
      <c r="F90">
        <f t="shared" si="4"/>
        <v>0.33994807474774752</v>
      </c>
      <c r="G90">
        <f t="shared" si="4"/>
        <v>0.62798921136414165</v>
      </c>
      <c r="H90">
        <f t="shared" si="4"/>
        <v>0.41928710776012151</v>
      </c>
      <c r="I90">
        <f t="shared" si="4"/>
        <v>0.64335619235978247</v>
      </c>
      <c r="J90">
        <f t="shared" si="4"/>
        <v>0.37336346029311501</v>
      </c>
    </row>
    <row r="91" spans="1:11" x14ac:dyDescent="0.25">
      <c r="C91" s="16" t="s">
        <v>14</v>
      </c>
      <c r="D91">
        <f t="shared" ref="D91:J91" si="5">(D46-D$83)/D$85</f>
        <v>0.10896735704655112</v>
      </c>
      <c r="E91">
        <f t="shared" si="5"/>
        <v>0.503516249131849</v>
      </c>
      <c r="F91">
        <f t="shared" si="5"/>
        <v>0.36440771437952757</v>
      </c>
      <c r="G91">
        <f t="shared" si="5"/>
        <v>0.57026665380307806</v>
      </c>
      <c r="H91">
        <f t="shared" si="5"/>
        <v>0.76507827072838663</v>
      </c>
      <c r="I91">
        <f t="shared" si="5"/>
        <v>0.5520698148837494</v>
      </c>
      <c r="J91">
        <f t="shared" si="5"/>
        <v>0.83766286689185043</v>
      </c>
    </row>
    <row r="92" spans="1:11" x14ac:dyDescent="0.25">
      <c r="C92" s="18" t="s">
        <v>15</v>
      </c>
      <c r="D92">
        <f t="shared" ref="D92:J92" si="6">(D47-D$83)/D$85</f>
        <v>0.36762433922260918</v>
      </c>
      <c r="E92">
        <f t="shared" si="6"/>
        <v>0.4238114394799064</v>
      </c>
      <c r="F92">
        <f t="shared" si="6"/>
        <v>0.32295116844039967</v>
      </c>
      <c r="G92">
        <f t="shared" si="6"/>
        <v>0.27802759239761909</v>
      </c>
      <c r="H92">
        <f t="shared" si="6"/>
        <v>0.42043645727758633</v>
      </c>
      <c r="I92">
        <f t="shared" si="6"/>
        <v>0.44193916655257898</v>
      </c>
      <c r="J92">
        <f t="shared" si="6"/>
        <v>0.50597392716437906</v>
      </c>
    </row>
    <row r="93" spans="1:11" x14ac:dyDescent="0.25">
      <c r="C93" s="16" t="s">
        <v>16</v>
      </c>
      <c r="D93">
        <f t="shared" ref="D93:J93" si="7">(D48-D$83)/D$85</f>
        <v>0.28536072779895194</v>
      </c>
      <c r="E93">
        <f t="shared" si="7"/>
        <v>0.40744845174977523</v>
      </c>
      <c r="F93">
        <f t="shared" si="7"/>
        <v>0.34483683763005352</v>
      </c>
      <c r="G93">
        <f t="shared" si="7"/>
        <v>0.54334539993875808</v>
      </c>
      <c r="H93">
        <f t="shared" si="7"/>
        <v>0.53972611966836426</v>
      </c>
      <c r="I93">
        <f t="shared" si="7"/>
        <v>0.59482724482164417</v>
      </c>
      <c r="J93">
        <f t="shared" si="7"/>
        <v>0.5459844921245296</v>
      </c>
    </row>
    <row r="94" spans="1:11" x14ac:dyDescent="0.25">
      <c r="C94" s="18" t="s">
        <v>17</v>
      </c>
      <c r="D94">
        <f t="shared" ref="D94:J94" si="8">(D49-D$83)/D$85</f>
        <v>0.52790821157475631</v>
      </c>
      <c r="E94">
        <f t="shared" si="8"/>
        <v>0.65278130941853807</v>
      </c>
      <c r="F94">
        <f t="shared" si="8"/>
        <v>0.37599617132253416</v>
      </c>
      <c r="G94">
        <f t="shared" si="8"/>
        <v>0.62043464947420079</v>
      </c>
      <c r="H94">
        <f t="shared" si="8"/>
        <v>0.29445944113266054</v>
      </c>
      <c r="I94">
        <f t="shared" si="8"/>
        <v>0.49013433685251462</v>
      </c>
      <c r="J94">
        <f t="shared" si="8"/>
        <v>0.32708724400224409</v>
      </c>
    </row>
    <row r="95" spans="1:11" x14ac:dyDescent="0.25">
      <c r="C95" s="16" t="s">
        <v>18</v>
      </c>
      <c r="D95">
        <f t="shared" ref="D95:J95" si="9">(D50-D$83)/D$85</f>
        <v>0.48369067232428953</v>
      </c>
      <c r="E95">
        <f t="shared" si="9"/>
        <v>0.58387573010083837</v>
      </c>
      <c r="F95">
        <f t="shared" si="9"/>
        <v>0.59170397913274764</v>
      </c>
      <c r="G95">
        <f t="shared" si="9"/>
        <v>1</v>
      </c>
      <c r="H95">
        <f t="shared" si="9"/>
        <v>0.58545979343102261</v>
      </c>
      <c r="I95">
        <f t="shared" si="9"/>
        <v>0.73598446747821689</v>
      </c>
      <c r="J95">
        <f t="shared" si="9"/>
        <v>0.50753033960332528</v>
      </c>
    </row>
    <row r="96" spans="1:11" x14ac:dyDescent="0.25">
      <c r="C96" s="18" t="s">
        <v>19</v>
      </c>
      <c r="D96">
        <f t="shared" ref="D96:J96" si="10">(D51-D$83)/D$85</f>
        <v>0.46216339797687034</v>
      </c>
      <c r="E96">
        <f t="shared" si="10"/>
        <v>0.69832555950677644</v>
      </c>
      <c r="F96">
        <f t="shared" si="10"/>
        <v>0.26540202624706588</v>
      </c>
      <c r="G96">
        <f t="shared" si="10"/>
        <v>0</v>
      </c>
      <c r="H96">
        <f t="shared" si="10"/>
        <v>0.24730495709924435</v>
      </c>
      <c r="I96">
        <f t="shared" si="10"/>
        <v>0.1282711583654193</v>
      </c>
      <c r="J96">
        <f t="shared" si="10"/>
        <v>0.50771379159117003</v>
      </c>
    </row>
    <row r="97" spans="3:10" x14ac:dyDescent="0.25">
      <c r="C97" s="16" t="s">
        <v>20</v>
      </c>
      <c r="D97">
        <f t="shared" ref="D97:J97" si="11">(D52-D$83)/D$85</f>
        <v>0.2791183580636914</v>
      </c>
      <c r="E97">
        <f t="shared" si="11"/>
        <v>0.37894463188496008</v>
      </c>
      <c r="F97">
        <f t="shared" si="11"/>
        <v>0.41686185772436624</v>
      </c>
      <c r="G97">
        <f t="shared" si="11"/>
        <v>0.69617322220311317</v>
      </c>
      <c r="H97">
        <f t="shared" si="11"/>
        <v>0.62705603173127822</v>
      </c>
      <c r="I97">
        <f t="shared" si="11"/>
        <v>0.69426910139247333</v>
      </c>
      <c r="J97">
        <f t="shared" si="11"/>
        <v>0.58341202635530298</v>
      </c>
    </row>
    <row r="98" spans="3:10" x14ac:dyDescent="0.25">
      <c r="C98" s="18" t="s">
        <v>21</v>
      </c>
      <c r="D98">
        <f t="shared" ref="D98:J98" si="12">(D53-D$83)/D$85</f>
        <v>0.54322855386473157</v>
      </c>
      <c r="E98">
        <f t="shared" si="12"/>
        <v>0.65298435240672359</v>
      </c>
      <c r="F98">
        <f t="shared" si="12"/>
        <v>0.66455028587884846</v>
      </c>
      <c r="G98">
        <f t="shared" si="12"/>
        <v>0.89086153884873676</v>
      </c>
      <c r="H98">
        <f t="shared" si="12"/>
        <v>0.59778465045960827</v>
      </c>
      <c r="I98">
        <f t="shared" si="12"/>
        <v>0.63590107974107946</v>
      </c>
      <c r="J98">
        <f t="shared" si="12"/>
        <v>0.58718376235307002</v>
      </c>
    </row>
    <row r="99" spans="3:10" x14ac:dyDescent="0.25">
      <c r="C99" s="16" t="s">
        <v>22</v>
      </c>
      <c r="D99">
        <f t="shared" ref="D99:J99" si="13">(D54-D$83)/D$85</f>
        <v>0.52068174230063491</v>
      </c>
      <c r="E99">
        <f t="shared" si="13"/>
        <v>0.28969490419027599</v>
      </c>
      <c r="F99">
        <f t="shared" si="13"/>
        <v>0.43653409961413142</v>
      </c>
      <c r="G99">
        <f t="shared" si="13"/>
        <v>0.82903661508647264</v>
      </c>
      <c r="H99">
        <f t="shared" si="13"/>
        <v>0.37014612216107101</v>
      </c>
      <c r="I99">
        <f t="shared" si="13"/>
        <v>0.8191606237900575</v>
      </c>
      <c r="J99">
        <f t="shared" si="13"/>
        <v>0.20126253240868339</v>
      </c>
    </row>
    <row r="100" spans="3:10" x14ac:dyDescent="0.25">
      <c r="C100" s="18" t="s">
        <v>23</v>
      </c>
      <c r="D100">
        <f t="shared" ref="D100:J100" si="14">(D55-D$83)/D$85</f>
        <v>0.25598300523686784</v>
      </c>
      <c r="E100">
        <f t="shared" si="14"/>
        <v>0.26977012497580566</v>
      </c>
      <c r="F100">
        <f t="shared" si="14"/>
        <v>0.42322844888465166</v>
      </c>
      <c r="G100">
        <f t="shared" si="14"/>
        <v>0.19903187513370449</v>
      </c>
      <c r="H100">
        <f t="shared" si="14"/>
        <v>0.66083976779634501</v>
      </c>
      <c r="I100">
        <f t="shared" si="14"/>
        <v>0.49117074346334055</v>
      </c>
      <c r="J100">
        <f t="shared" si="14"/>
        <v>0.75532233289165918</v>
      </c>
    </row>
    <row r="101" spans="3:10" x14ac:dyDescent="0.25">
      <c r="C101" s="16" t="s">
        <v>24</v>
      </c>
      <c r="D101">
        <f t="shared" ref="D101:J101" si="15">(D56-D$83)/D$85</f>
        <v>0.19090887816741853</v>
      </c>
      <c r="E101">
        <f t="shared" si="15"/>
        <v>0.48838670011499452</v>
      </c>
      <c r="F101">
        <f t="shared" si="15"/>
        <v>0.53293690374432812</v>
      </c>
      <c r="G101">
        <f t="shared" si="15"/>
        <v>0.41884613609956417</v>
      </c>
      <c r="H101">
        <f t="shared" si="15"/>
        <v>0.8579905130881823</v>
      </c>
      <c r="I101">
        <f t="shared" si="15"/>
        <v>0.47940368150636498</v>
      </c>
      <c r="J101">
        <f t="shared" si="15"/>
        <v>0.99378951208408073</v>
      </c>
    </row>
    <row r="102" spans="3:10" x14ac:dyDescent="0.25">
      <c r="C102" s="18" t="s">
        <v>25</v>
      </c>
      <c r="D102">
        <f t="shared" ref="D102:J102" si="16">(D57-D$83)/D$85</f>
        <v>0.14801639346663198</v>
      </c>
      <c r="E102">
        <f t="shared" si="16"/>
        <v>0.63664034065679664</v>
      </c>
      <c r="F102">
        <f t="shared" si="16"/>
        <v>0.35623440969796949</v>
      </c>
      <c r="G102">
        <f t="shared" si="16"/>
        <v>0.67870251133603743</v>
      </c>
      <c r="H102">
        <f t="shared" si="16"/>
        <v>0.71091822761400836</v>
      </c>
      <c r="I102">
        <f t="shared" si="16"/>
        <v>0.53119233149623846</v>
      </c>
      <c r="J102">
        <f t="shared" si="16"/>
        <v>0.78786532904079642</v>
      </c>
    </row>
    <row r="103" spans="3:10" x14ac:dyDescent="0.25">
      <c r="C103" s="16" t="s">
        <v>26</v>
      </c>
      <c r="D103">
        <f t="shared" ref="D103:J103" si="17">(D58-D$83)/D$85</f>
        <v>0.11720846820431875</v>
      </c>
      <c r="E103">
        <f t="shared" si="17"/>
        <v>0.3649517440823406</v>
      </c>
      <c r="F103">
        <f t="shared" si="17"/>
        <v>0.30176737868883585</v>
      </c>
      <c r="G103">
        <f t="shared" si="17"/>
        <v>0.57382581302773927</v>
      </c>
      <c r="H103">
        <f t="shared" si="17"/>
        <v>0.68588170692694694</v>
      </c>
      <c r="I103">
        <f t="shared" si="17"/>
        <v>0.63660936635502807</v>
      </c>
      <c r="J103">
        <f t="shared" si="17"/>
        <v>0.68985476364487619</v>
      </c>
    </row>
    <row r="104" spans="3:10" x14ac:dyDescent="0.25">
      <c r="C104" s="18" t="s">
        <v>27</v>
      </c>
      <c r="D104">
        <f t="shared" ref="D104:J104" si="18">(D59-D$83)/D$85</f>
        <v>0.37017186676174813</v>
      </c>
      <c r="E104">
        <f t="shared" si="18"/>
        <v>0.31059884398328597</v>
      </c>
      <c r="F104">
        <f t="shared" si="18"/>
        <v>0.57340349579722594</v>
      </c>
      <c r="G104">
        <f t="shared" si="18"/>
        <v>0.5887944160839601</v>
      </c>
      <c r="H104">
        <f t="shared" si="18"/>
        <v>0.69611614030065305</v>
      </c>
      <c r="I104">
        <f t="shared" si="18"/>
        <v>0.67709258528008431</v>
      </c>
      <c r="J104">
        <f t="shared" si="18"/>
        <v>0.67545269796437224</v>
      </c>
    </row>
    <row r="105" spans="3:10" x14ac:dyDescent="0.25">
      <c r="C105" s="16" t="s">
        <v>28</v>
      </c>
      <c r="D105">
        <f t="shared" ref="D105:J105" si="19">(D60-D$83)/D$85</f>
        <v>0.3087869321612941</v>
      </c>
      <c r="E105">
        <f t="shared" si="19"/>
        <v>0.37894652948298052</v>
      </c>
      <c r="F105">
        <f t="shared" si="19"/>
        <v>0.20069630280383158</v>
      </c>
      <c r="G105">
        <f t="shared" si="19"/>
        <v>0.49628354145780812</v>
      </c>
      <c r="H105">
        <f t="shared" si="19"/>
        <v>0.35233779238602414</v>
      </c>
      <c r="I105">
        <f t="shared" si="19"/>
        <v>0.58643303014291315</v>
      </c>
      <c r="J105">
        <f t="shared" si="19"/>
        <v>0.33208513689578678</v>
      </c>
    </row>
    <row r="106" spans="3:10" x14ac:dyDescent="0.25">
      <c r="C106" s="18" t="s">
        <v>29</v>
      </c>
      <c r="D106">
        <f t="shared" ref="D106:J106" si="20">(D61-D$83)/D$85</f>
        <v>0.94086517457909102</v>
      </c>
      <c r="E106">
        <f t="shared" si="20"/>
        <v>0.91368206124687379</v>
      </c>
      <c r="F106">
        <f t="shared" si="20"/>
        <v>0.56822119373002677</v>
      </c>
      <c r="G106">
        <f t="shared" si="20"/>
        <v>2.5167890804912978E-4</v>
      </c>
      <c r="H106">
        <f t="shared" si="20"/>
        <v>3.1698924656069778E-2</v>
      </c>
      <c r="I106">
        <f t="shared" si="20"/>
        <v>0</v>
      </c>
      <c r="J106">
        <f t="shared" si="20"/>
        <v>0.33890549661056768</v>
      </c>
    </row>
    <row r="107" spans="3:10" x14ac:dyDescent="0.25">
      <c r="C107" s="16" t="s">
        <v>30</v>
      </c>
      <c r="D107">
        <f t="shared" ref="D107:J107" si="21">(D62-D$83)/D$85</f>
        <v>1</v>
      </c>
      <c r="E107">
        <f t="shared" si="21"/>
        <v>0.49828646898755558</v>
      </c>
      <c r="F107">
        <f t="shared" si="21"/>
        <v>0.76596749302907485</v>
      </c>
      <c r="G107">
        <f t="shared" si="21"/>
        <v>0.69777767524192635</v>
      </c>
      <c r="H107">
        <f t="shared" si="21"/>
        <v>0.18343603041521456</v>
      </c>
      <c r="I107">
        <f t="shared" si="21"/>
        <v>0.62397674647525581</v>
      </c>
      <c r="J107">
        <f t="shared" si="21"/>
        <v>0.10988936476162794</v>
      </c>
    </row>
    <row r="108" spans="3:10" x14ac:dyDescent="0.25">
      <c r="C108" s="18" t="s">
        <v>31</v>
      </c>
      <c r="D108">
        <f t="shared" ref="D108:J108" si="22">(D63-D$83)/D$85</f>
        <v>3.1145805025655254E-2</v>
      </c>
      <c r="E108">
        <f t="shared" si="22"/>
        <v>0.35069509015488198</v>
      </c>
      <c r="F108">
        <f t="shared" si="22"/>
        <v>0.36508437628062335</v>
      </c>
      <c r="G108">
        <f t="shared" si="22"/>
        <v>0.77754730514809201</v>
      </c>
      <c r="H108">
        <f t="shared" si="22"/>
        <v>0.85564692373645235</v>
      </c>
      <c r="I108">
        <f t="shared" si="22"/>
        <v>0.75501203295229924</v>
      </c>
      <c r="J108">
        <f t="shared" si="22"/>
        <v>0.8114299514626514</v>
      </c>
    </row>
    <row r="109" spans="3:10" x14ac:dyDescent="0.25">
      <c r="C109" s="16" t="s">
        <v>32</v>
      </c>
      <c r="D109">
        <f t="shared" ref="D109:J109" si="23">(D64-D$83)/D$85</f>
        <v>0.96284779719527347</v>
      </c>
      <c r="E109">
        <f t="shared" si="23"/>
        <v>0.95925667290343897</v>
      </c>
      <c r="F109">
        <f t="shared" si="23"/>
        <v>0.59415216756707567</v>
      </c>
      <c r="G109">
        <f t="shared" si="23"/>
        <v>0.62134698551587886</v>
      </c>
      <c r="H109">
        <f t="shared" si="23"/>
        <v>3.5175547281653882E-2</v>
      </c>
      <c r="I109">
        <f t="shared" si="23"/>
        <v>0.30788970189732562</v>
      </c>
      <c r="J109">
        <f t="shared" si="23"/>
        <v>0.14232149098550159</v>
      </c>
    </row>
    <row r="110" spans="3:10" x14ac:dyDescent="0.25">
      <c r="C110" s="18" t="s">
        <v>33</v>
      </c>
      <c r="D110">
        <f t="shared" ref="D110:J110" si="24">(D65-D$83)/D$85</f>
        <v>0.81564748967801914</v>
      </c>
      <c r="E110">
        <f t="shared" si="24"/>
        <v>0.83425619850393373</v>
      </c>
      <c r="F110">
        <f t="shared" si="24"/>
        <v>0.72475356337620644</v>
      </c>
      <c r="G110">
        <f t="shared" si="24"/>
        <v>0.74827075616927918</v>
      </c>
      <c r="H110">
        <f t="shared" si="24"/>
        <v>0.35035296526087917</v>
      </c>
      <c r="I110">
        <f t="shared" si="24"/>
        <v>0.45089344812253135</v>
      </c>
      <c r="J110">
        <f t="shared" si="24"/>
        <v>0.41809370181880501</v>
      </c>
    </row>
    <row r="111" spans="3:10" x14ac:dyDescent="0.25">
      <c r="C111" s="16" t="s">
        <v>34</v>
      </c>
      <c r="D111">
        <f t="shared" ref="D111:J111" si="25">(D66-D$83)/D$85</f>
        <v>0.48499877649528489</v>
      </c>
      <c r="E111">
        <f t="shared" si="25"/>
        <v>0.38047409588942321</v>
      </c>
      <c r="F111">
        <f t="shared" si="25"/>
        <v>0.80058984805742228</v>
      </c>
      <c r="G111">
        <f t="shared" si="25"/>
        <v>0.55181020054614316</v>
      </c>
      <c r="H111">
        <f t="shared" si="25"/>
        <v>0.81632863035075354</v>
      </c>
      <c r="I111">
        <f t="shared" si="25"/>
        <v>0.61547730710787119</v>
      </c>
      <c r="J111">
        <f t="shared" si="25"/>
        <v>0.85633700536978874</v>
      </c>
    </row>
    <row r="112" spans="3:10" x14ac:dyDescent="0.25">
      <c r="C112" s="18" t="s">
        <v>35</v>
      </c>
      <c r="D112">
        <f t="shared" ref="D112:J112" si="26">(D67-D$83)/D$85</f>
        <v>0.68813331687510204</v>
      </c>
      <c r="E112">
        <f t="shared" si="26"/>
        <v>0.78574600270977002</v>
      </c>
      <c r="F112">
        <f t="shared" si="26"/>
        <v>0.71653576240886907</v>
      </c>
      <c r="G112">
        <f t="shared" si="26"/>
        <v>0.71201640946480471</v>
      </c>
      <c r="H112">
        <f t="shared" si="26"/>
        <v>0.4883783790831463</v>
      </c>
      <c r="I112">
        <f t="shared" si="26"/>
        <v>0.46025957686097785</v>
      </c>
      <c r="J112">
        <f t="shared" si="26"/>
        <v>0.57357196275336364</v>
      </c>
    </row>
    <row r="113" spans="3:10" x14ac:dyDescent="0.25">
      <c r="C113" s="16" t="s">
        <v>36</v>
      </c>
      <c r="D113">
        <f t="shared" ref="D113:J113" si="27">(D68-D$83)/D$85</f>
        <v>4.3474892058968616E-2</v>
      </c>
      <c r="E113">
        <f t="shared" si="27"/>
        <v>0.47392890079737071</v>
      </c>
      <c r="F113">
        <f t="shared" si="27"/>
        <v>0.50763463078972793</v>
      </c>
      <c r="G113">
        <f t="shared" si="27"/>
        <v>0.85805938783300262</v>
      </c>
      <c r="H113">
        <f t="shared" si="27"/>
        <v>1</v>
      </c>
      <c r="I113">
        <f t="shared" si="27"/>
        <v>0.72496755572099847</v>
      </c>
      <c r="J113">
        <f t="shared" si="27"/>
        <v>1</v>
      </c>
    </row>
    <row r="114" spans="3:10" x14ac:dyDescent="0.25">
      <c r="C114" s="18" t="s">
        <v>37</v>
      </c>
      <c r="D114">
        <f t="shared" ref="D114:J114" si="28">(D69-D$83)/D$85</f>
        <v>0.25215321487456333</v>
      </c>
      <c r="E114">
        <f t="shared" si="28"/>
        <v>0.16238125780387189</v>
      </c>
      <c r="F114">
        <f t="shared" si="28"/>
        <v>0.60903321784564735</v>
      </c>
      <c r="G114">
        <f t="shared" si="28"/>
        <v>0.64494607779395052</v>
      </c>
      <c r="H114">
        <f t="shared" si="28"/>
        <v>0.87196143022285422</v>
      </c>
      <c r="I114">
        <f t="shared" si="28"/>
        <v>0.79576001077138747</v>
      </c>
      <c r="J114">
        <f t="shared" si="28"/>
        <v>0.80397310074384221</v>
      </c>
    </row>
    <row r="115" spans="3:10" x14ac:dyDescent="0.25">
      <c r="C115" s="16" t="s">
        <v>38</v>
      </c>
      <c r="D115">
        <f t="shared" ref="D115:J115" si="29">(D70-D$83)/D$85</f>
        <v>0.7723848497638659</v>
      </c>
      <c r="E115">
        <f t="shared" si="29"/>
        <v>0</v>
      </c>
      <c r="F115">
        <f t="shared" si="29"/>
        <v>1</v>
      </c>
      <c r="G115">
        <f t="shared" si="29"/>
        <v>0.84406604054547207</v>
      </c>
      <c r="H115">
        <f t="shared" si="29"/>
        <v>0.70648597972345606</v>
      </c>
      <c r="I115">
        <f t="shared" si="29"/>
        <v>1</v>
      </c>
      <c r="J115">
        <f t="shared" si="29"/>
        <v>0.47715122174229158</v>
      </c>
    </row>
    <row r="116" spans="3:10" x14ac:dyDescent="0.25">
      <c r="C116" s="18" t="s">
        <v>39</v>
      </c>
      <c r="D116">
        <f t="shared" ref="D116:J116" si="30">(D71-D$83)/D$85</f>
        <v>0.17250819522314104</v>
      </c>
      <c r="E116">
        <f t="shared" si="30"/>
        <v>0.44025222872887504</v>
      </c>
      <c r="F116">
        <f t="shared" si="30"/>
        <v>0.21526603084046475</v>
      </c>
      <c r="G116">
        <f t="shared" si="30"/>
        <v>0.62338768199531025</v>
      </c>
      <c r="H116">
        <f t="shared" si="30"/>
        <v>0.52582898409193468</v>
      </c>
      <c r="I116">
        <f t="shared" si="30"/>
        <v>0.61844849025200754</v>
      </c>
      <c r="J116">
        <f t="shared" si="30"/>
        <v>0.514321390484899</v>
      </c>
    </row>
    <row r="117" spans="3:10" x14ac:dyDescent="0.25">
      <c r="C117" s="16" t="s">
        <v>41</v>
      </c>
      <c r="D117">
        <f t="shared" ref="D117:J117" si="31">(D72-D$83)/D$85</f>
        <v>0.47486965405219872</v>
      </c>
      <c r="E117">
        <f t="shared" si="31"/>
        <v>0.37394066590509739</v>
      </c>
      <c r="F117">
        <f t="shared" si="31"/>
        <v>0.76667432891190168</v>
      </c>
      <c r="G117">
        <f t="shared" si="31"/>
        <v>0.66917436734214486</v>
      </c>
      <c r="H117">
        <f t="shared" si="31"/>
        <v>0.79028903301169229</v>
      </c>
      <c r="I117">
        <f t="shared" si="31"/>
        <v>0.68268759695097314</v>
      </c>
      <c r="J117">
        <f t="shared" si="31"/>
        <v>0.78205178488671556</v>
      </c>
    </row>
    <row r="118" spans="3:10" x14ac:dyDescent="0.25">
      <c r="C118" s="18" t="s">
        <v>42</v>
      </c>
      <c r="D118">
        <f t="shared" ref="D118:J118" si="32">(D73-D$83)/D$85</f>
        <v>0.86267048433323923</v>
      </c>
      <c r="E118">
        <f t="shared" si="32"/>
        <v>1</v>
      </c>
      <c r="F118">
        <f t="shared" si="32"/>
        <v>0.67642070478383753</v>
      </c>
      <c r="G118">
        <f t="shared" si="32"/>
        <v>0.84995742431805499</v>
      </c>
      <c r="H118">
        <f t="shared" si="32"/>
        <v>0.24231380558583759</v>
      </c>
      <c r="I118">
        <f t="shared" si="32"/>
        <v>0.40692536854098615</v>
      </c>
      <c r="J118">
        <f t="shared" si="32"/>
        <v>0.32026980035492419</v>
      </c>
    </row>
    <row r="119" spans="3:10" x14ac:dyDescent="0.25">
      <c r="C119" s="16" t="s">
        <v>43</v>
      </c>
      <c r="D119">
        <f t="shared" ref="D119:J119" si="33">(D74-D$83)/D$85</f>
        <v>0.23553168099470009</v>
      </c>
      <c r="E119">
        <f t="shared" si="33"/>
        <v>0.73928141758162536</v>
      </c>
      <c r="F119">
        <f t="shared" si="33"/>
        <v>0.39213654834895662</v>
      </c>
      <c r="G119">
        <f t="shared" si="33"/>
        <v>0.20054404590623287</v>
      </c>
      <c r="H119">
        <f t="shared" si="33"/>
        <v>0.6498544750326557</v>
      </c>
      <c r="I119">
        <f t="shared" si="33"/>
        <v>0.21203906211990414</v>
      </c>
      <c r="J119">
        <f t="shared" si="33"/>
        <v>0.92437434871478896</v>
      </c>
    </row>
    <row r="120" spans="3:10" x14ac:dyDescent="0.25">
      <c r="C120" s="18" t="s">
        <v>44</v>
      </c>
      <c r="D120">
        <f t="shared" ref="D120:J120" si="34">(D75-D$83)/D$85</f>
        <v>0.95775225767501559</v>
      </c>
      <c r="E120">
        <f t="shared" si="34"/>
        <v>0.74389447836928024</v>
      </c>
      <c r="F120">
        <f t="shared" si="34"/>
        <v>0.55724639219997474</v>
      </c>
      <c r="G120">
        <f t="shared" si="34"/>
        <v>0.67099903942550088</v>
      </c>
      <c r="H120">
        <f t="shared" si="34"/>
        <v>0</v>
      </c>
      <c r="I120">
        <f t="shared" si="34"/>
        <v>0.46308593462718217</v>
      </c>
      <c r="J120">
        <f t="shared" si="34"/>
        <v>0</v>
      </c>
    </row>
    <row r="121" spans="3:10" x14ac:dyDescent="0.25">
      <c r="C121" s="16" t="s">
        <v>45</v>
      </c>
      <c r="D121">
        <f t="shared" ref="D121:J121" si="35">(D76-D$83)/D$85</f>
        <v>0.79209674741376612</v>
      </c>
      <c r="E121">
        <f t="shared" si="35"/>
        <v>0.53085304621410223</v>
      </c>
      <c r="F121">
        <f t="shared" si="35"/>
        <v>0.63678920710564602</v>
      </c>
      <c r="G121">
        <f t="shared" si="35"/>
        <v>0.505524352031678</v>
      </c>
      <c r="H121">
        <f t="shared" si="35"/>
        <v>0.27967608397797961</v>
      </c>
      <c r="I121">
        <f t="shared" si="35"/>
        <v>0.50084349468162748</v>
      </c>
      <c r="J121">
        <f t="shared" si="35"/>
        <v>0.30280157168049526</v>
      </c>
    </row>
    <row r="122" spans="3:10" x14ac:dyDescent="0.25">
      <c r="C122" s="18" t="s">
        <v>46</v>
      </c>
      <c r="D122">
        <f t="shared" ref="D122:J122" si="36">(D77-D$83)/D$85</f>
        <v>0.40970823954676638</v>
      </c>
      <c r="E122">
        <f t="shared" si="36"/>
        <v>0.27272278749558815</v>
      </c>
      <c r="F122">
        <f t="shared" si="36"/>
        <v>0.39412547044542517</v>
      </c>
      <c r="G122">
        <f t="shared" si="36"/>
        <v>0.54329506415714834</v>
      </c>
      <c r="H122">
        <f t="shared" si="36"/>
        <v>0.4510453612338679</v>
      </c>
      <c r="I122">
        <f t="shared" si="36"/>
        <v>0.67513065398841166</v>
      </c>
      <c r="J122">
        <f t="shared" si="36"/>
        <v>0.38983425015378181</v>
      </c>
    </row>
    <row r="123" spans="3:10" x14ac:dyDescent="0.25">
      <c r="C123" s="16" t="s">
        <v>47</v>
      </c>
      <c r="D123">
        <f t="shared" ref="D123:J123" si="37">(D78-D$83)/D$85</f>
        <v>0.81213862593401076</v>
      </c>
      <c r="E123">
        <f t="shared" si="37"/>
        <v>0.80552656447468807</v>
      </c>
      <c r="F123">
        <f t="shared" si="37"/>
        <v>0.57981999905080528</v>
      </c>
      <c r="G123">
        <f t="shared" si="37"/>
        <v>0.32818090679910572</v>
      </c>
      <c r="H123">
        <f t="shared" si="37"/>
        <v>0.19316888594669077</v>
      </c>
      <c r="I123">
        <f t="shared" si="37"/>
        <v>0.24139675025429297</v>
      </c>
      <c r="J123">
        <f t="shared" si="37"/>
        <v>0.37061352690156857</v>
      </c>
    </row>
    <row r="124" spans="3:10" x14ac:dyDescent="0.25">
      <c r="C124" s="18" t="s">
        <v>48</v>
      </c>
      <c r="D124">
        <f t="shared" ref="D124:J124" si="38">(D79-D$83)/D$85</f>
        <v>0.30555586010379326</v>
      </c>
      <c r="E124">
        <f t="shared" si="38"/>
        <v>0.32792960670383431</v>
      </c>
      <c r="F124">
        <f t="shared" si="38"/>
        <v>0.34960418387986586</v>
      </c>
      <c r="G124">
        <f t="shared" si="38"/>
        <v>0.52877528848694832</v>
      </c>
      <c r="H124">
        <f t="shared" si="38"/>
        <v>0.52172190262283691</v>
      </c>
      <c r="I124">
        <f t="shared" si="38"/>
        <v>0.63438041327279338</v>
      </c>
      <c r="J124">
        <f t="shared" si="38"/>
        <v>0.49913040123166569</v>
      </c>
    </row>
    <row r="125" spans="3:10" x14ac:dyDescent="0.25">
      <c r="C125" s="16" t="s">
        <v>49</v>
      </c>
      <c r="D125">
        <f t="shared" ref="D125:J125" si="39">(D80-D$83)/D$85</f>
        <v>0</v>
      </c>
      <c r="E125">
        <f t="shared" si="39"/>
        <v>0.21144555221999994</v>
      </c>
      <c r="F125">
        <f t="shared" si="39"/>
        <v>0.28892987139843718</v>
      </c>
      <c r="G125">
        <f t="shared" si="39"/>
        <v>0.71105164031728307</v>
      </c>
      <c r="H125">
        <f t="shared" si="39"/>
        <v>0.8068737684176146</v>
      </c>
      <c r="I125">
        <f t="shared" si="39"/>
        <v>0.80216740229661365</v>
      </c>
      <c r="J125">
        <f t="shared" si="39"/>
        <v>0.72360117182878236</v>
      </c>
    </row>
    <row r="126" spans="3:10" x14ac:dyDescent="0.25">
      <c r="C126" s="18" t="s">
        <v>51</v>
      </c>
      <c r="D126">
        <f t="shared" ref="D126:J126" si="40">(D81-D$83)/D$85</f>
        <v>7.9977968427670555E-3</v>
      </c>
      <c r="E126">
        <f t="shared" si="40"/>
        <v>0.65492369758359881</v>
      </c>
      <c r="F126">
        <f t="shared" si="40"/>
        <v>0</v>
      </c>
      <c r="G126">
        <f t="shared" si="40"/>
        <v>0.5089199199661073</v>
      </c>
      <c r="H126">
        <f t="shared" si="40"/>
        <v>0.47621846770373738</v>
      </c>
      <c r="I126">
        <f t="shared" si="40"/>
        <v>0.42869782750618624</v>
      </c>
      <c r="J126">
        <f t="shared" si="40"/>
        <v>0.57990574139211948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65C6-D96B-486A-B9B9-940BE9DD00E9}">
  <sheetPr codeName="Sheet6"/>
  <dimension ref="A1:K126"/>
  <sheetViews>
    <sheetView tabSelected="1" topLeftCell="A38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-0.36544001049107661</v>
      </c>
      <c r="E2">
        <v>3.7859999999999999E-3</v>
      </c>
      <c r="F2">
        <v>0.94805156037452287</v>
      </c>
      <c r="G2">
        <v>1.5772999999999999E-2</v>
      </c>
      <c r="H2">
        <v>1.3134915708655994</v>
      </c>
      <c r="I2">
        <v>1.1986999999999999E-2</v>
      </c>
      <c r="J2">
        <v>1.3015045708655995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1.18090994015429E-2</v>
      </c>
      <c r="E3">
        <v>4.3747000000000001E-2</v>
      </c>
      <c r="F3">
        <v>-5.001270320167131E-3</v>
      </c>
      <c r="G3">
        <v>3.9851999999999999E-2</v>
      </c>
      <c r="H3">
        <v>-1.6810369721710031E-2</v>
      </c>
      <c r="I3">
        <v>-3.8950000000000026E-3</v>
      </c>
      <c r="J3">
        <v>-1.2915369721710028E-2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-0.63101558399138036</v>
      </c>
      <c r="E4">
        <v>9.6906000000000006E-2</v>
      </c>
      <c r="F4">
        <v>0.56097478552035174</v>
      </c>
      <c r="G4">
        <v>1.2330000000000001E-2</v>
      </c>
      <c r="H4">
        <v>1.191990369511732</v>
      </c>
      <c r="I4">
        <v>-8.4576000000000012E-2</v>
      </c>
      <c r="J4">
        <v>1.276566369511732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-0.20187697748539449</v>
      </c>
      <c r="E5">
        <v>5.4903E-2</v>
      </c>
      <c r="F5">
        <v>8.9549349218163807E-2</v>
      </c>
      <c r="G5">
        <v>-0.12700900000000001</v>
      </c>
      <c r="H5">
        <v>0.29142632670355828</v>
      </c>
      <c r="I5">
        <v>-0.18191200000000002</v>
      </c>
      <c r="J5">
        <v>0.4733383267035583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-0.87307169367624271</v>
      </c>
      <c r="E6">
        <v>4.6280000000000002E-2</v>
      </c>
      <c r="F6">
        <v>0.3255111712996604</v>
      </c>
      <c r="G6">
        <v>-5.0600000000000005E-4</v>
      </c>
      <c r="H6">
        <v>1.1985828649759032</v>
      </c>
      <c r="I6">
        <v>-4.6786000000000001E-2</v>
      </c>
      <c r="J6">
        <v>1.2453688649759032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0.2837726654633429</v>
      </c>
      <c r="E7">
        <v>0.175566</v>
      </c>
      <c r="F7">
        <v>5.3210473699613334E-2</v>
      </c>
      <c r="G7">
        <v>3.6249999999999998E-2</v>
      </c>
      <c r="H7">
        <v>-0.23056219176372955</v>
      </c>
      <c r="I7">
        <v>-0.139316</v>
      </c>
      <c r="J7">
        <v>-9.1246191763729556E-2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-1.44717349644775E-2</v>
      </c>
      <c r="E8">
        <v>0.13925399999999999</v>
      </c>
      <c r="F8">
        <v>5.5681100118189143E-2</v>
      </c>
      <c r="G8">
        <v>0.217226</v>
      </c>
      <c r="H8">
        <v>7.0152835082666648E-2</v>
      </c>
      <c r="I8">
        <v>7.7972000000000014E-2</v>
      </c>
      <c r="J8">
        <v>-7.8191649173333655E-3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-0.53435798524503397</v>
      </c>
      <c r="E9">
        <v>0.19956699999999999</v>
      </c>
      <c r="F9">
        <v>0.30131632248220008</v>
      </c>
      <c r="G9">
        <v>-0.25957200000000002</v>
      </c>
      <c r="H9">
        <v>0.83567430772723406</v>
      </c>
      <c r="I9">
        <v>-0.45913900000000002</v>
      </c>
      <c r="J9">
        <v>1.2948133077272341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-0.65335138838252593</v>
      </c>
      <c r="E10">
        <v>3.1259000000000002E-2</v>
      </c>
      <c r="F10">
        <v>0.63427025888811783</v>
      </c>
      <c r="G10">
        <v>7.2361999999999996E-2</v>
      </c>
      <c r="H10">
        <v>1.2876216472706439</v>
      </c>
      <c r="I10">
        <v>4.1102999999999994E-2</v>
      </c>
      <c r="J10">
        <v>1.246518647270644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-5.3428063447106697E-2</v>
      </c>
      <c r="E11">
        <v>0.175673</v>
      </c>
      <c r="F11">
        <v>0.35269586913347267</v>
      </c>
      <c r="G11">
        <v>0.165189</v>
      </c>
      <c r="H11">
        <v>0.40612393258057938</v>
      </c>
      <c r="I11">
        <v>-1.0483999999999993E-2</v>
      </c>
      <c r="J11">
        <v>0.41660793258057938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-0.2562527998612607</v>
      </c>
      <c r="E12">
        <v>-1.5774E-2</v>
      </c>
      <c r="F12">
        <v>0.55000513545032326</v>
      </c>
      <c r="G12">
        <v>0.135711</v>
      </c>
      <c r="H12">
        <v>0.80625793531158396</v>
      </c>
      <c r="I12">
        <v>0.15148500000000001</v>
      </c>
      <c r="J12">
        <v>0.65477293531158398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-1.1659723662245003</v>
      </c>
      <c r="E13">
        <v>-2.6273999999999999E-2</v>
      </c>
      <c r="F13">
        <v>0.51067403350516694</v>
      </c>
      <c r="G13">
        <v>-0.16467399999999999</v>
      </c>
      <c r="H13">
        <v>1.6766463997296672</v>
      </c>
      <c r="I13">
        <v>-0.1384</v>
      </c>
      <c r="J13">
        <v>1.8150463997296673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-0.21152083297516769</v>
      </c>
      <c r="E14">
        <v>8.8932999999999998E-2</v>
      </c>
      <c r="F14">
        <v>0.17645928578976267</v>
      </c>
      <c r="G14">
        <v>-5.9866999999999997E-2</v>
      </c>
      <c r="H14">
        <v>0.38798011876493033</v>
      </c>
      <c r="I14">
        <v>-0.14879999999999999</v>
      </c>
      <c r="J14">
        <v>0.53678011876493037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0.10089444122280559</v>
      </c>
      <c r="E15">
        <v>0.16705999999999999</v>
      </c>
      <c r="F15">
        <v>6.1799804111070521E-2</v>
      </c>
      <c r="G15">
        <v>6.4032000000000006E-2</v>
      </c>
      <c r="H15">
        <v>-3.9094637111735074E-2</v>
      </c>
      <c r="I15">
        <v>-0.10302799999999998</v>
      </c>
      <c r="J15">
        <v>6.39333628882649E-2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-0.91320144733903919</v>
      </c>
      <c r="E16">
        <v>2.3885E-2</v>
      </c>
      <c r="F16">
        <v>0.57705936385192669</v>
      </c>
      <c r="G16">
        <v>1.4027E-2</v>
      </c>
      <c r="H16">
        <v>1.4902608111909659</v>
      </c>
      <c r="I16">
        <v>-9.8580000000000004E-3</v>
      </c>
      <c r="J16">
        <v>1.5001188111909658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-0.28811272225170292</v>
      </c>
      <c r="E17">
        <v>-4.7580000000000001E-3</v>
      </c>
      <c r="F17">
        <v>0.35433556006562317</v>
      </c>
      <c r="G17">
        <v>2.1163999999999999E-2</v>
      </c>
      <c r="H17">
        <v>0.64244828231732609</v>
      </c>
      <c r="I17">
        <v>2.5922000000000001E-2</v>
      </c>
      <c r="J17">
        <v>0.61652628231732609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8.7632558481234496E-2</v>
      </c>
      <c r="E18">
        <v>3.1260000000000003E-2</v>
      </c>
      <c r="F18">
        <v>-0.10526907869005921</v>
      </c>
      <c r="G18">
        <v>-2.2945E-2</v>
      </c>
      <c r="H18">
        <v>-0.19290163717129372</v>
      </c>
      <c r="I18">
        <v>-5.4205000000000003E-2</v>
      </c>
      <c r="J18">
        <v>-0.13869663717129371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0.73838627993673589</v>
      </c>
      <c r="E19">
        <v>0.313056</v>
      </c>
      <c r="F19">
        <v>-0.14486878453662211</v>
      </c>
      <c r="G19">
        <v>-0.25945200000000002</v>
      </c>
      <c r="H19">
        <v>-0.883255064473358</v>
      </c>
      <c r="I19">
        <v>-0.57250800000000002</v>
      </c>
      <c r="J19">
        <v>-0.31074706447335798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0.64164412043096863</v>
      </c>
      <c r="E20">
        <v>9.4149999999999998E-2</v>
      </c>
      <c r="F20">
        <v>0.8749717896769369</v>
      </c>
      <c r="G20">
        <v>7.3126999999999998E-2</v>
      </c>
      <c r="H20">
        <v>0.23332766924596826</v>
      </c>
      <c r="I20">
        <v>-2.1023E-2</v>
      </c>
      <c r="J20">
        <v>0.25435066924596827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-0.50807717477626901</v>
      </c>
      <c r="E21">
        <v>1.6372000000000001E-2</v>
      </c>
      <c r="F21">
        <v>0.77925730189347975</v>
      </c>
      <c r="G21">
        <v>0.111161</v>
      </c>
      <c r="H21">
        <v>1.2873344766697488</v>
      </c>
      <c r="I21">
        <v>9.4788999999999998E-2</v>
      </c>
      <c r="J21">
        <v>1.1925454766697487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0.50719552351493657</v>
      </c>
      <c r="E22">
        <v>0.33707300000000001</v>
      </c>
      <c r="F22">
        <v>-0.25397684972899021</v>
      </c>
      <c r="G22">
        <v>3.6685000000000002E-2</v>
      </c>
      <c r="H22">
        <v>-0.76117237324392684</v>
      </c>
      <c r="I22">
        <v>-0.30038799999999999</v>
      </c>
      <c r="J22">
        <v>-0.46078437324392685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0.33600988677679328</v>
      </c>
      <c r="E23">
        <v>0.2712</v>
      </c>
      <c r="F23">
        <v>0.18020131735895714</v>
      </c>
      <c r="G23">
        <v>9.7201999999999997E-2</v>
      </c>
      <c r="H23">
        <v>-0.15580856941783613</v>
      </c>
      <c r="I23">
        <v>-0.17399799999999999</v>
      </c>
      <c r="J23">
        <v>1.8189430582163851E-2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-0.63263417629429186</v>
      </c>
      <c r="E24">
        <v>3.2065000000000003E-2</v>
      </c>
      <c r="F24">
        <v>0.52512323799875615</v>
      </c>
      <c r="G24">
        <v>3.5300000000000002E-3</v>
      </c>
      <c r="H24">
        <v>1.157757414293048</v>
      </c>
      <c r="I24">
        <v>-2.8535000000000005E-2</v>
      </c>
      <c r="J24">
        <v>1.186292414293048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0.29262798690645048</v>
      </c>
      <c r="E25">
        <v>0.24563599999999999</v>
      </c>
      <c r="F25">
        <v>-0.36762555368627581</v>
      </c>
      <c r="G25">
        <v>7.9916000000000001E-2</v>
      </c>
      <c r="H25">
        <v>-0.66025354059272634</v>
      </c>
      <c r="I25">
        <v>-0.16571999999999998</v>
      </c>
      <c r="J25">
        <v>-0.49453354059272636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-0.5667065038434379</v>
      </c>
      <c r="E26">
        <v>8.1313999999999997E-2</v>
      </c>
      <c r="F26">
        <v>0.64466531870353472</v>
      </c>
      <c r="G26">
        <v>0.14954899999999999</v>
      </c>
      <c r="H26">
        <v>1.2113718225469725</v>
      </c>
      <c r="I26">
        <v>6.823499999999999E-2</v>
      </c>
      <c r="J26">
        <v>1.1431368225469725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0.37269397033405771</v>
      </c>
      <c r="E27">
        <v>-8.2865999999999995E-2</v>
      </c>
      <c r="F27">
        <v>-0.30334260635350896</v>
      </c>
      <c r="G27">
        <v>4.7937E-2</v>
      </c>
      <c r="H27">
        <v>-0.67603657668756667</v>
      </c>
      <c r="I27">
        <v>0.130803</v>
      </c>
      <c r="J27">
        <v>-0.80683957668756667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-0.27738844610160351</v>
      </c>
      <c r="E28">
        <v>-0.168438</v>
      </c>
      <c r="F28">
        <v>0.65222301872740462</v>
      </c>
      <c r="G28">
        <v>0.142877</v>
      </c>
      <c r="H28">
        <v>0.92961146482900814</v>
      </c>
      <c r="I28">
        <v>0.31131500000000001</v>
      </c>
      <c r="J28">
        <v>0.61829646482900813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1.0622868466126174</v>
      </c>
      <c r="E29">
        <v>6.3566999999999999E-2</v>
      </c>
      <c r="F29">
        <v>-0.2084877215581584</v>
      </c>
      <c r="G29">
        <v>3.7657999999999997E-2</v>
      </c>
      <c r="H29">
        <v>-1.2707745681707758</v>
      </c>
      <c r="I29">
        <v>-2.5909000000000001E-2</v>
      </c>
      <c r="J29">
        <v>-1.2448655681707759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1.6024211201302485</v>
      </c>
      <c r="G30">
        <v>0.70438599999999996</v>
      </c>
      <c r="H30">
        <v>-0.39757887986975149</v>
      </c>
      <c r="I30">
        <v>-0.10781600000000002</v>
      </c>
      <c r="J30">
        <v>-0.28976287986975147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-0.46007262508244051</v>
      </c>
      <c r="E31">
        <v>2.8622000000000002E-2</v>
      </c>
      <c r="F31">
        <v>0.39428211531203511</v>
      </c>
      <c r="G31">
        <v>5.9489E-2</v>
      </c>
      <c r="H31">
        <v>0.85435474039447556</v>
      </c>
      <c r="I31">
        <v>3.0866999999999999E-2</v>
      </c>
      <c r="J31">
        <v>0.82348774039447559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0.71009858616025834</v>
      </c>
      <c r="E32">
        <v>0.35854399999999997</v>
      </c>
      <c r="F32">
        <v>0.17902047381128278</v>
      </c>
      <c r="G32">
        <v>0.14568600000000001</v>
      </c>
      <c r="H32">
        <v>-0.53107811234897562</v>
      </c>
      <c r="I32">
        <v>-0.21285799999999996</v>
      </c>
      <c r="J32">
        <v>-0.31822011234897563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0.24682940349701279</v>
      </c>
      <c r="E33">
        <v>0.22115000000000001</v>
      </c>
      <c r="F33">
        <v>5.9334033175456505E-2</v>
      </c>
      <c r="G33">
        <v>-0.16395299999999999</v>
      </c>
      <c r="H33">
        <v>-0.18749537032155628</v>
      </c>
      <c r="I33">
        <v>-0.38510299999999997</v>
      </c>
      <c r="J33">
        <v>0.1976076296784437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0.51926939079282419</v>
      </c>
      <c r="E34">
        <v>0.223581</v>
      </c>
      <c r="F34">
        <v>-0.31525375016592078</v>
      </c>
      <c r="G34">
        <v>6.0359000000000003E-2</v>
      </c>
      <c r="H34">
        <v>-0.83452314095874502</v>
      </c>
      <c r="I34">
        <v>-0.16322200000000001</v>
      </c>
      <c r="J34">
        <v>-0.67130114095874505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0.1148798878646711</v>
      </c>
      <c r="E35">
        <v>0.11131199999999999</v>
      </c>
      <c r="F35">
        <v>-0.11812379402904431</v>
      </c>
      <c r="G35">
        <v>-1.8539E-2</v>
      </c>
      <c r="H35">
        <v>-0.2330036818937154</v>
      </c>
      <c r="I35">
        <v>-0.12985099999999999</v>
      </c>
      <c r="J35">
        <v>-0.1031526818937154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-0.80038185983133991</v>
      </c>
      <c r="E36">
        <v>-2.4718E-2</v>
      </c>
      <c r="F36">
        <v>0.49260501822420016</v>
      </c>
      <c r="G36">
        <v>-5.2999999999999998E-4</v>
      </c>
      <c r="H36">
        <v>1.29298687805554</v>
      </c>
      <c r="I36">
        <v>2.4188000000000001E-2</v>
      </c>
      <c r="J36">
        <v>1.2687988780555399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1.1626537875281504</v>
      </c>
      <c r="E37">
        <v>0.25606000000000001</v>
      </c>
      <c r="F37">
        <v>9.3691079577212261E-2</v>
      </c>
      <c r="G37">
        <v>-0.10309599999999999</v>
      </c>
      <c r="H37">
        <v>-1.0689627079509381</v>
      </c>
      <c r="I37">
        <v>-0.35915600000000003</v>
      </c>
      <c r="J37">
        <v>-0.70980670795093803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-0.53281349402533151</v>
      </c>
      <c r="E38">
        <v>4.3750000000000004E-3</v>
      </c>
      <c r="F38">
        <v>0.55907714981851531</v>
      </c>
      <c r="G38">
        <v>-7.4530000000000004E-3</v>
      </c>
      <c r="H38">
        <v>1.0918906438438469</v>
      </c>
      <c r="I38">
        <v>-1.1828000000000002E-2</v>
      </c>
      <c r="J38">
        <v>1.1037186438438469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-0.5936086266618994</v>
      </c>
      <c r="E39">
        <v>-5.7009999999999998E-2</v>
      </c>
      <c r="F39">
        <v>0.41335750494474416</v>
      </c>
      <c r="G39">
        <v>7.9455999999999999E-2</v>
      </c>
      <c r="H39">
        <v>1.0069661316066436</v>
      </c>
      <c r="I39">
        <v>0.136466</v>
      </c>
      <c r="J39">
        <v>0.87050013160664363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1.3238989115253752</v>
      </c>
      <c r="G40">
        <v>0.99823200000000001</v>
      </c>
      <c r="H40">
        <v>-0.6761010884746248</v>
      </c>
      <c r="I40">
        <v>-8.2908999999999899E-2</v>
      </c>
      <c r="J40">
        <v>-0.5931920884746249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4.7201720078656799E-2</v>
      </c>
      <c r="E41">
        <v>0.17669499999999999</v>
      </c>
      <c r="F41">
        <v>0.76756661678569482</v>
      </c>
      <c r="G41">
        <v>-1.6920000000000001E-2</v>
      </c>
      <c r="H41">
        <v>0.72036489670703807</v>
      </c>
      <c r="I41">
        <v>-0.19361499999999998</v>
      </c>
      <c r="J41">
        <v>0.91397989670703805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-0.36544001049107661</v>
      </c>
      <c r="E44" s="8">
        <v>3.7859999999999999E-3</v>
      </c>
      <c r="F44" s="8">
        <v>0.94805156037452287</v>
      </c>
      <c r="G44" s="8">
        <v>1.5772999999999999E-2</v>
      </c>
      <c r="H44" s="8">
        <v>1.3134915708655994</v>
      </c>
      <c r="I44" s="8">
        <v>1.1986999999999999E-2</v>
      </c>
      <c r="J44" s="8">
        <v>1.3015045708655995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1.18090994015429E-2</v>
      </c>
      <c r="E45" s="10">
        <v>4.3747000000000001E-2</v>
      </c>
      <c r="F45" s="10">
        <v>-5.001270320167131E-3</v>
      </c>
      <c r="G45" s="10">
        <v>3.9851999999999999E-2</v>
      </c>
      <c r="H45" s="10">
        <v>-1.6810369721710031E-2</v>
      </c>
      <c r="I45" s="10">
        <v>-3.8950000000000026E-3</v>
      </c>
      <c r="J45" s="10">
        <v>-1.2915369721710028E-2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-0.63101558399138036</v>
      </c>
      <c r="E46" s="8">
        <v>9.6906000000000006E-2</v>
      </c>
      <c r="F46" s="8">
        <v>0.56097478552035174</v>
      </c>
      <c r="G46" s="8">
        <v>1.2330000000000001E-2</v>
      </c>
      <c r="H46" s="8">
        <v>1.191990369511732</v>
      </c>
      <c r="I46" s="8">
        <v>-8.4576000000000012E-2</v>
      </c>
      <c r="J46" s="8">
        <v>1.276566369511732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-0.20187697748539449</v>
      </c>
      <c r="E47" s="10">
        <v>5.4903E-2</v>
      </c>
      <c r="F47" s="10">
        <v>8.9549349218163807E-2</v>
      </c>
      <c r="G47" s="10">
        <v>-0.12700900000000001</v>
      </c>
      <c r="H47" s="10">
        <v>0.29142632670355828</v>
      </c>
      <c r="I47" s="10">
        <v>-0.18191200000000002</v>
      </c>
      <c r="J47" s="10">
        <v>0.4733383267035583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-0.87307169367624271</v>
      </c>
      <c r="E48" s="8">
        <v>4.6280000000000002E-2</v>
      </c>
      <c r="F48" s="8">
        <v>0.3255111712996604</v>
      </c>
      <c r="G48" s="8">
        <v>-5.0600000000000005E-4</v>
      </c>
      <c r="H48" s="8">
        <v>1.1985828649759032</v>
      </c>
      <c r="I48" s="8">
        <v>-4.6786000000000001E-2</v>
      </c>
      <c r="J48" s="8">
        <v>1.2453688649759032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0.2837726654633429</v>
      </c>
      <c r="E49" s="10">
        <v>0.175566</v>
      </c>
      <c r="F49" s="10">
        <v>5.3210473699613334E-2</v>
      </c>
      <c r="G49" s="10">
        <v>3.6249999999999998E-2</v>
      </c>
      <c r="H49" s="10">
        <v>-0.23056219176372955</v>
      </c>
      <c r="I49" s="10">
        <v>-0.139316</v>
      </c>
      <c r="J49" s="10">
        <v>-9.1246191763729556E-2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-1.44717349644775E-2</v>
      </c>
      <c r="E50" s="8">
        <v>0.13925399999999999</v>
      </c>
      <c r="F50" s="8">
        <v>5.5681100118189143E-2</v>
      </c>
      <c r="G50" s="8">
        <v>0.217226</v>
      </c>
      <c r="H50" s="8">
        <v>7.0152835082666648E-2</v>
      </c>
      <c r="I50" s="8">
        <v>7.7972000000000014E-2</v>
      </c>
      <c r="J50" s="8">
        <v>-7.8191649173333655E-3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-0.53435798524503397</v>
      </c>
      <c r="E51" s="10">
        <v>0.19956699999999999</v>
      </c>
      <c r="F51" s="10">
        <v>0.30131632248220008</v>
      </c>
      <c r="G51" s="10">
        <v>-0.25957200000000002</v>
      </c>
      <c r="H51" s="10">
        <v>0.83567430772723406</v>
      </c>
      <c r="I51" s="10">
        <v>-0.45913900000000002</v>
      </c>
      <c r="J51" s="10">
        <v>1.2948133077272341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-0.65335138838252593</v>
      </c>
      <c r="E52" s="8">
        <v>3.1259000000000002E-2</v>
      </c>
      <c r="F52" s="8">
        <v>0.63427025888811783</v>
      </c>
      <c r="G52" s="8">
        <v>7.2361999999999996E-2</v>
      </c>
      <c r="H52" s="8">
        <v>1.2876216472706439</v>
      </c>
      <c r="I52" s="8">
        <v>4.1102999999999994E-2</v>
      </c>
      <c r="J52" s="8">
        <v>1.246518647270644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-5.3428063447106697E-2</v>
      </c>
      <c r="E53" s="10">
        <v>0.175673</v>
      </c>
      <c r="F53" s="10">
        <v>0.35269586913347267</v>
      </c>
      <c r="G53" s="10">
        <v>0.165189</v>
      </c>
      <c r="H53" s="10">
        <v>0.40612393258057938</v>
      </c>
      <c r="I53" s="10">
        <v>-1.0483999999999993E-2</v>
      </c>
      <c r="J53" s="10">
        <v>0.41660793258057938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-0.2562527998612607</v>
      </c>
      <c r="E54" s="8">
        <v>-1.5774E-2</v>
      </c>
      <c r="F54" s="8">
        <v>0.55000513545032326</v>
      </c>
      <c r="G54" s="8">
        <v>0.135711</v>
      </c>
      <c r="H54" s="8">
        <v>0.80625793531158396</v>
      </c>
      <c r="I54" s="8">
        <v>0.15148500000000001</v>
      </c>
      <c r="J54" s="8">
        <v>0.65477293531158398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-1.1659723662245003</v>
      </c>
      <c r="E55" s="10">
        <v>-2.6273999999999999E-2</v>
      </c>
      <c r="F55" s="10">
        <v>0.51067403350516694</v>
      </c>
      <c r="G55" s="10">
        <v>-0.16467399999999999</v>
      </c>
      <c r="H55" s="10">
        <v>1.6766463997296672</v>
      </c>
      <c r="I55" s="10">
        <v>-0.1384</v>
      </c>
      <c r="J55" s="10">
        <v>1.8150463997296673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-0.21152083297516769</v>
      </c>
      <c r="E56" s="8">
        <v>8.8932999999999998E-2</v>
      </c>
      <c r="F56" s="8">
        <v>0.17645928578976267</v>
      </c>
      <c r="G56" s="8">
        <v>-5.9866999999999997E-2</v>
      </c>
      <c r="H56" s="8">
        <v>0.38798011876493033</v>
      </c>
      <c r="I56" s="8">
        <v>-0.14879999999999999</v>
      </c>
      <c r="J56" s="8">
        <v>0.53678011876493037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0.10089444122280559</v>
      </c>
      <c r="E57" s="10">
        <v>0.16705999999999999</v>
      </c>
      <c r="F57" s="10">
        <v>6.1799804111070521E-2</v>
      </c>
      <c r="G57" s="10">
        <v>6.4032000000000006E-2</v>
      </c>
      <c r="H57" s="10">
        <v>-3.9094637111735074E-2</v>
      </c>
      <c r="I57" s="10">
        <v>-0.10302799999999998</v>
      </c>
      <c r="J57" s="10">
        <v>6.39333628882649E-2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-0.91320144733903919</v>
      </c>
      <c r="E58" s="8">
        <v>2.3885E-2</v>
      </c>
      <c r="F58" s="8">
        <v>0.57705936385192669</v>
      </c>
      <c r="G58" s="8">
        <v>1.4027E-2</v>
      </c>
      <c r="H58" s="8">
        <v>1.4902608111909659</v>
      </c>
      <c r="I58" s="8">
        <v>-9.8580000000000004E-3</v>
      </c>
      <c r="J58" s="8">
        <v>1.5001188111909658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-0.28811272225170292</v>
      </c>
      <c r="E59" s="10">
        <v>-4.7580000000000001E-3</v>
      </c>
      <c r="F59" s="10">
        <v>0.35433556006562317</v>
      </c>
      <c r="G59" s="10">
        <v>2.1163999999999999E-2</v>
      </c>
      <c r="H59" s="10">
        <v>0.64244828231732609</v>
      </c>
      <c r="I59" s="10">
        <v>2.5922000000000001E-2</v>
      </c>
      <c r="J59" s="10">
        <v>0.61652628231732609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8.7632558481234496E-2</v>
      </c>
      <c r="E60" s="8">
        <v>3.1260000000000003E-2</v>
      </c>
      <c r="F60" s="8">
        <v>-0.10526907869005921</v>
      </c>
      <c r="G60" s="8">
        <v>-2.2945E-2</v>
      </c>
      <c r="H60" s="8">
        <v>-0.19290163717129372</v>
      </c>
      <c r="I60" s="8">
        <v>-5.4205000000000003E-2</v>
      </c>
      <c r="J60" s="8">
        <v>-0.13869663717129371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0.73838627993673589</v>
      </c>
      <c r="E61" s="10">
        <v>0.313056</v>
      </c>
      <c r="F61" s="10">
        <v>-0.14486878453662211</v>
      </c>
      <c r="G61" s="10">
        <v>-0.25945200000000002</v>
      </c>
      <c r="H61" s="10">
        <v>-0.883255064473358</v>
      </c>
      <c r="I61" s="10">
        <v>-0.57250800000000002</v>
      </c>
      <c r="J61" s="10">
        <v>-0.31074706447335798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0.64164412043096863</v>
      </c>
      <c r="E62" s="8">
        <v>9.4149999999999998E-2</v>
      </c>
      <c r="F62" s="8">
        <v>0.8749717896769369</v>
      </c>
      <c r="G62" s="8">
        <v>7.3126999999999998E-2</v>
      </c>
      <c r="H62" s="8">
        <v>0.23332766924596826</v>
      </c>
      <c r="I62" s="8">
        <v>-2.1023E-2</v>
      </c>
      <c r="J62" s="8">
        <v>0.25435066924596827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-0.50807717477626901</v>
      </c>
      <c r="E63" s="10">
        <v>1.6372000000000001E-2</v>
      </c>
      <c r="F63" s="10">
        <v>0.77925730189347975</v>
      </c>
      <c r="G63" s="10">
        <v>0.111161</v>
      </c>
      <c r="H63" s="10">
        <v>1.2873344766697488</v>
      </c>
      <c r="I63" s="10">
        <v>9.4788999999999998E-2</v>
      </c>
      <c r="J63" s="10">
        <v>1.1925454766697487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0.50719552351493657</v>
      </c>
      <c r="E64" s="8">
        <v>0.33707300000000001</v>
      </c>
      <c r="F64" s="8">
        <v>-0.25397684972899021</v>
      </c>
      <c r="G64" s="8">
        <v>3.6685000000000002E-2</v>
      </c>
      <c r="H64" s="8">
        <v>-0.76117237324392684</v>
      </c>
      <c r="I64" s="8">
        <v>-0.30038799999999999</v>
      </c>
      <c r="J64" s="8">
        <v>-0.46078437324392685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0.33600988677679328</v>
      </c>
      <c r="E65" s="10">
        <v>0.2712</v>
      </c>
      <c r="F65" s="10">
        <v>0.18020131735895714</v>
      </c>
      <c r="G65" s="10">
        <v>9.7201999999999997E-2</v>
      </c>
      <c r="H65" s="10">
        <v>-0.15580856941783613</v>
      </c>
      <c r="I65" s="10">
        <v>-0.17399799999999999</v>
      </c>
      <c r="J65" s="10">
        <v>1.8189430582163851E-2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-0.63263417629429186</v>
      </c>
      <c r="E66" s="8">
        <v>3.2065000000000003E-2</v>
      </c>
      <c r="F66" s="8">
        <v>0.52512323799875615</v>
      </c>
      <c r="G66" s="8">
        <v>3.5300000000000002E-3</v>
      </c>
      <c r="H66" s="8">
        <v>1.157757414293048</v>
      </c>
      <c r="I66" s="8">
        <v>-2.8535000000000005E-2</v>
      </c>
      <c r="J66" s="8">
        <v>1.186292414293048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0.29262798690645048</v>
      </c>
      <c r="E67" s="10">
        <v>0.24563599999999999</v>
      </c>
      <c r="F67" s="10">
        <v>-0.36762555368627581</v>
      </c>
      <c r="G67" s="10">
        <v>7.9916000000000001E-2</v>
      </c>
      <c r="H67" s="10">
        <v>-0.66025354059272634</v>
      </c>
      <c r="I67" s="10">
        <v>-0.16571999999999998</v>
      </c>
      <c r="J67" s="10">
        <v>-0.49453354059272636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-0.5667065038434379</v>
      </c>
      <c r="E68" s="8">
        <v>8.1313999999999997E-2</v>
      </c>
      <c r="F68" s="8">
        <v>0.64466531870353472</v>
      </c>
      <c r="G68" s="8">
        <v>0.14954899999999999</v>
      </c>
      <c r="H68" s="8">
        <v>1.2113718225469725</v>
      </c>
      <c r="I68" s="8">
        <v>6.823499999999999E-2</v>
      </c>
      <c r="J68" s="8">
        <v>1.1431368225469725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0.37269397033405771</v>
      </c>
      <c r="E69" s="10">
        <v>-8.2865999999999995E-2</v>
      </c>
      <c r="F69" s="10">
        <v>-0.30334260635350896</v>
      </c>
      <c r="G69" s="10">
        <v>4.7937E-2</v>
      </c>
      <c r="H69" s="10">
        <v>-0.67603657668756667</v>
      </c>
      <c r="I69" s="10">
        <v>0.130803</v>
      </c>
      <c r="J69" s="10">
        <v>-0.80683957668756667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-0.27738844610160351</v>
      </c>
      <c r="E70" s="8">
        <v>-0.168438</v>
      </c>
      <c r="F70" s="8">
        <v>0.65222301872740462</v>
      </c>
      <c r="G70" s="8">
        <v>0.142877</v>
      </c>
      <c r="H70" s="8">
        <v>0.92961146482900814</v>
      </c>
      <c r="I70" s="8">
        <v>0.31131500000000001</v>
      </c>
      <c r="J70" s="8">
        <v>0.61829646482900813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1.0622868466126174</v>
      </c>
      <c r="E71" s="10">
        <v>6.3566999999999999E-2</v>
      </c>
      <c r="F71" s="10">
        <v>-0.2084877215581584</v>
      </c>
      <c r="G71" s="10">
        <v>3.7657999999999997E-2</v>
      </c>
      <c r="H71" s="10">
        <v>-1.2707745681707758</v>
      </c>
      <c r="I71" s="10">
        <v>-2.5909000000000001E-2</v>
      </c>
      <c r="J71" s="10">
        <v>-1.2448655681707759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-0.46007262508244051</v>
      </c>
      <c r="E72" s="8">
        <v>2.8622000000000002E-2</v>
      </c>
      <c r="F72" s="8">
        <v>0.39428211531203511</v>
      </c>
      <c r="G72" s="8">
        <v>5.9489E-2</v>
      </c>
      <c r="H72" s="8">
        <v>0.85435474039447556</v>
      </c>
      <c r="I72" s="8">
        <v>3.0866999999999999E-2</v>
      </c>
      <c r="J72" s="8">
        <v>0.82348774039447559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0.71009858616025834</v>
      </c>
      <c r="E73" s="10">
        <v>0.35854399999999997</v>
      </c>
      <c r="F73" s="10">
        <v>0.17902047381128278</v>
      </c>
      <c r="G73" s="10">
        <v>0.14568600000000001</v>
      </c>
      <c r="H73" s="10">
        <v>-0.53107811234897562</v>
      </c>
      <c r="I73" s="10">
        <v>-0.21285799999999996</v>
      </c>
      <c r="J73" s="10">
        <v>-0.31822011234897563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0.24682940349701279</v>
      </c>
      <c r="E74" s="8">
        <v>0.22115000000000001</v>
      </c>
      <c r="F74" s="8">
        <v>5.9334033175456505E-2</v>
      </c>
      <c r="G74" s="8">
        <v>-0.16395299999999999</v>
      </c>
      <c r="H74" s="8">
        <v>-0.18749537032155628</v>
      </c>
      <c r="I74" s="8">
        <v>-0.38510299999999997</v>
      </c>
      <c r="J74" s="8">
        <v>0.1976076296784437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0.51926939079282419</v>
      </c>
      <c r="E75" s="10">
        <v>0.223581</v>
      </c>
      <c r="F75" s="10">
        <v>-0.31525375016592078</v>
      </c>
      <c r="G75" s="10">
        <v>6.0359000000000003E-2</v>
      </c>
      <c r="H75" s="10">
        <v>-0.83452314095874502</v>
      </c>
      <c r="I75" s="10">
        <v>-0.16322200000000001</v>
      </c>
      <c r="J75" s="10">
        <v>-0.67130114095874505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0.1148798878646711</v>
      </c>
      <c r="E76" s="8">
        <v>0.11131199999999999</v>
      </c>
      <c r="F76" s="8">
        <v>-0.11812379402904431</v>
      </c>
      <c r="G76" s="8">
        <v>-1.8539E-2</v>
      </c>
      <c r="H76" s="8">
        <v>-0.2330036818937154</v>
      </c>
      <c r="I76" s="8">
        <v>-0.12985099999999999</v>
      </c>
      <c r="J76" s="8">
        <v>-0.1031526818937154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-0.80038185983133991</v>
      </c>
      <c r="E77" s="10">
        <v>-2.4718E-2</v>
      </c>
      <c r="F77" s="10">
        <v>0.49260501822420016</v>
      </c>
      <c r="G77" s="10">
        <v>-5.2999999999999998E-4</v>
      </c>
      <c r="H77" s="10">
        <v>1.29298687805554</v>
      </c>
      <c r="I77" s="10">
        <v>2.4188000000000001E-2</v>
      </c>
      <c r="J77" s="10">
        <v>1.2687988780555399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1.1626537875281504</v>
      </c>
      <c r="E78" s="8">
        <v>0.25606000000000001</v>
      </c>
      <c r="F78" s="8">
        <v>9.3691079577212261E-2</v>
      </c>
      <c r="G78" s="8">
        <v>-0.10309599999999999</v>
      </c>
      <c r="H78" s="8">
        <v>-1.0689627079509381</v>
      </c>
      <c r="I78" s="8">
        <v>-0.35915600000000003</v>
      </c>
      <c r="J78" s="8">
        <v>-0.70980670795093803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-0.53281349402533151</v>
      </c>
      <c r="E79" s="10">
        <v>4.3750000000000004E-3</v>
      </c>
      <c r="F79" s="10">
        <v>0.55907714981851531</v>
      </c>
      <c r="G79" s="10">
        <v>-7.4530000000000004E-3</v>
      </c>
      <c r="H79" s="10">
        <v>1.0918906438438469</v>
      </c>
      <c r="I79" s="10">
        <v>-1.1828000000000002E-2</v>
      </c>
      <c r="J79" s="10">
        <v>1.1037186438438469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-0.5936086266618994</v>
      </c>
      <c r="E80" s="8">
        <v>-5.7009999999999998E-2</v>
      </c>
      <c r="F80" s="8">
        <v>0.41335750494474416</v>
      </c>
      <c r="G80" s="8">
        <v>7.9455999999999999E-2</v>
      </c>
      <c r="H80" s="8">
        <v>1.0069661316066436</v>
      </c>
      <c r="I80" s="8">
        <v>0.136466</v>
      </c>
      <c r="J80" s="8">
        <v>0.87050013160664363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4.7201720078656799E-2</v>
      </c>
      <c r="E81" s="10">
        <v>0.17669499999999999</v>
      </c>
      <c r="F81" s="10">
        <v>0.76756661678569482</v>
      </c>
      <c r="G81" s="10">
        <v>-1.6920000000000001E-2</v>
      </c>
      <c r="H81" s="10">
        <v>0.72036489670703807</v>
      </c>
      <c r="I81" s="10">
        <v>-0.19361499999999998</v>
      </c>
      <c r="J81" s="10">
        <v>0.91397989670703805</v>
      </c>
      <c r="K81" s="11" t="b">
        <v>1</v>
      </c>
    </row>
    <row r="83" spans="1:11" x14ac:dyDescent="0.25">
      <c r="C83" t="s">
        <v>52</v>
      </c>
      <c r="D83">
        <f>MIN(D44:D81)</f>
        <v>-1.1659723662245003</v>
      </c>
      <c r="E83">
        <f t="shared" ref="E83:J83" si="0">MIN(E44:E81)</f>
        <v>-0.168438</v>
      </c>
      <c r="F83">
        <f t="shared" si="0"/>
        <v>-0.36762555368627581</v>
      </c>
      <c r="G83">
        <f t="shared" si="0"/>
        <v>-0.25957200000000002</v>
      </c>
      <c r="H83">
        <f t="shared" si="0"/>
        <v>-1.2707745681707758</v>
      </c>
      <c r="I83">
        <f t="shared" si="0"/>
        <v>-0.57250800000000002</v>
      </c>
      <c r="J83">
        <f t="shared" si="0"/>
        <v>-1.2448655681707759</v>
      </c>
    </row>
    <row r="84" spans="1:11" x14ac:dyDescent="0.25">
      <c r="C84" t="s">
        <v>53</v>
      </c>
      <c r="D84">
        <f>MAX(D44:D81)</f>
        <v>1.1626537875281504</v>
      </c>
      <c r="E84">
        <f t="shared" ref="E84:J84" si="1">MAX(E44:E81)</f>
        <v>0.35854399999999997</v>
      </c>
      <c r="F84">
        <f t="shared" si="1"/>
        <v>0.94805156037452287</v>
      </c>
      <c r="G84">
        <f t="shared" si="1"/>
        <v>0.217226</v>
      </c>
      <c r="H84">
        <f t="shared" si="1"/>
        <v>1.6766463997296672</v>
      </c>
      <c r="I84">
        <f t="shared" si="1"/>
        <v>0.31131500000000001</v>
      </c>
      <c r="J84">
        <f t="shared" si="1"/>
        <v>1.8150463997296673</v>
      </c>
    </row>
    <row r="85" spans="1:11" x14ac:dyDescent="0.25">
      <c r="C85" t="s">
        <v>54</v>
      </c>
      <c r="D85">
        <f>D84-D83</f>
        <v>2.3286261537526505</v>
      </c>
      <c r="E85">
        <f t="shared" ref="E85:J85" si="2">E84-E83</f>
        <v>0.52698199999999995</v>
      </c>
      <c r="F85">
        <f t="shared" si="2"/>
        <v>1.3156771140607986</v>
      </c>
      <c r="G85">
        <f t="shared" si="2"/>
        <v>0.47679800000000006</v>
      </c>
      <c r="H85">
        <f t="shared" si="2"/>
        <v>2.9474209679004431</v>
      </c>
      <c r="I85">
        <f t="shared" si="2"/>
        <v>0.88382300000000003</v>
      </c>
      <c r="J85">
        <f t="shared" si="2"/>
        <v>3.059911967900443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0.3437788218788756</v>
      </c>
      <c r="E89">
        <f t="shared" ref="E89:J89" si="3">(E44-E$83)/E$85</f>
        <v>0.32681192146980359</v>
      </c>
      <c r="F89">
        <f t="shared" si="3"/>
        <v>1</v>
      </c>
      <c r="G89">
        <f t="shared" si="3"/>
        <v>0.57748774113985368</v>
      </c>
      <c r="H89">
        <f t="shared" si="3"/>
        <v>0.87678895114777022</v>
      </c>
      <c r="I89">
        <f t="shared" si="3"/>
        <v>0.66132585370600216</v>
      </c>
      <c r="J89">
        <f t="shared" si="3"/>
        <v>0.83217104470608871</v>
      </c>
    </row>
    <row r="90" spans="1:11" x14ac:dyDescent="0.25">
      <c r="C90" s="18" t="s">
        <v>13</v>
      </c>
      <c r="D90">
        <f t="shared" ref="D90:J90" si="4">(D45-D$83)/D$85</f>
        <v>0.50578383469927679</v>
      </c>
      <c r="E90">
        <f t="shared" si="4"/>
        <v>0.4026418359640368</v>
      </c>
      <c r="F90">
        <f t="shared" si="4"/>
        <v>0.27561799129185999</v>
      </c>
      <c r="G90">
        <f t="shared" si="4"/>
        <v>0.62798921136414165</v>
      </c>
      <c r="H90">
        <f t="shared" si="4"/>
        <v>0.42544455376603729</v>
      </c>
      <c r="I90">
        <f t="shared" si="4"/>
        <v>0.64335619235978247</v>
      </c>
      <c r="J90">
        <f t="shared" si="4"/>
        <v>0.4026096866095033</v>
      </c>
    </row>
    <row r="91" spans="1:11" x14ac:dyDescent="0.25">
      <c r="C91" s="16" t="s">
        <v>14</v>
      </c>
      <c r="D91">
        <f t="shared" ref="D91:J91" si="5">(D46-D$83)/D$85</f>
        <v>0.22973064240948302</v>
      </c>
      <c r="E91">
        <f t="shared" si="5"/>
        <v>0.503516249131849</v>
      </c>
      <c r="F91">
        <f t="shared" si="5"/>
        <v>0.70579652810143512</v>
      </c>
      <c r="G91">
        <f t="shared" si="5"/>
        <v>0.57026665380307806</v>
      </c>
      <c r="H91">
        <f t="shared" si="5"/>
        <v>0.83556606419775392</v>
      </c>
      <c r="I91">
        <f t="shared" si="5"/>
        <v>0.5520698148837494</v>
      </c>
      <c r="J91">
        <f t="shared" si="5"/>
        <v>0.82402107123774126</v>
      </c>
    </row>
    <row r="92" spans="1:11" x14ac:dyDescent="0.25">
      <c r="C92" s="18" t="s">
        <v>15</v>
      </c>
      <c r="D92">
        <f t="shared" ref="D92:J92" si="6">(D47-D$83)/D$85</f>
        <v>0.41401896443765235</v>
      </c>
      <c r="E92">
        <f t="shared" si="6"/>
        <v>0.4238114394799064</v>
      </c>
      <c r="F92">
        <f t="shared" si="6"/>
        <v>0.34748259889797944</v>
      </c>
      <c r="G92">
        <f t="shared" si="6"/>
        <v>0.27802759239761909</v>
      </c>
      <c r="H92">
        <f t="shared" si="6"/>
        <v>0.53002299701598021</v>
      </c>
      <c r="I92">
        <f t="shared" si="6"/>
        <v>0.44193916655257898</v>
      </c>
      <c r="J92">
        <f t="shared" si="6"/>
        <v>0.56152069500655566</v>
      </c>
    </row>
    <row r="93" spans="1:11" x14ac:dyDescent="0.25">
      <c r="C93" s="16" t="s">
        <v>16</v>
      </c>
      <c r="D93">
        <f t="shared" ref="D93:J93" si="7">(D48-D$83)/D$85</f>
        <v>0.12578260880401065</v>
      </c>
      <c r="E93">
        <f t="shared" si="7"/>
        <v>0.40744845174977523</v>
      </c>
      <c r="F93">
        <f t="shared" si="7"/>
        <v>0.52682889865476956</v>
      </c>
      <c r="G93">
        <f t="shared" si="7"/>
        <v>0.54334539993875808</v>
      </c>
      <c r="H93">
        <f t="shared" si="7"/>
        <v>0.83780276385347618</v>
      </c>
      <c r="I93">
        <f t="shared" si="7"/>
        <v>0.59482724482164417</v>
      </c>
      <c r="J93">
        <f t="shared" si="7"/>
        <v>0.81382551500504507</v>
      </c>
    </row>
    <row r="94" spans="1:11" x14ac:dyDescent="0.25">
      <c r="C94" s="18" t="s">
        <v>17</v>
      </c>
      <c r="D94">
        <f t="shared" ref="D94:J94" si="8">(D49-D$83)/D$85</f>
        <v>0.62257525938697189</v>
      </c>
      <c r="E94">
        <f t="shared" si="8"/>
        <v>0.65278130941853807</v>
      </c>
      <c r="F94">
        <f t="shared" si="8"/>
        <v>0.31986269494875624</v>
      </c>
      <c r="G94">
        <f t="shared" si="8"/>
        <v>0.62043464947420079</v>
      </c>
      <c r="H94">
        <f t="shared" si="8"/>
        <v>0.35292290708918589</v>
      </c>
      <c r="I94">
        <f t="shared" si="8"/>
        <v>0.49013433685251462</v>
      </c>
      <c r="J94">
        <f t="shared" si="8"/>
        <v>0.37701064230243253</v>
      </c>
    </row>
    <row r="95" spans="1:11" x14ac:dyDescent="0.25">
      <c r="C95" s="16" t="s">
        <v>18</v>
      </c>
      <c r="D95">
        <f t="shared" ref="D95:J95" si="9">(D50-D$83)/D$85</f>
        <v>0.49449785205080915</v>
      </c>
      <c r="E95">
        <f t="shared" si="9"/>
        <v>0.58387573010083837</v>
      </c>
      <c r="F95">
        <f t="shared" si="9"/>
        <v>0.32174053138154962</v>
      </c>
      <c r="G95">
        <f t="shared" si="9"/>
        <v>1</v>
      </c>
      <c r="H95">
        <f t="shared" si="9"/>
        <v>0.45494940080060386</v>
      </c>
      <c r="I95">
        <f t="shared" si="9"/>
        <v>0.73598446747821689</v>
      </c>
      <c r="J95">
        <f t="shared" si="9"/>
        <v>0.40427516092962679</v>
      </c>
    </row>
    <row r="96" spans="1:11" x14ac:dyDescent="0.25">
      <c r="C96" s="18" t="s">
        <v>19</v>
      </c>
      <c r="D96">
        <f t="shared" ref="D96:J96" si="10">(D51-D$83)/D$85</f>
        <v>0.27123906512928275</v>
      </c>
      <c r="E96">
        <f t="shared" si="10"/>
        <v>0.69832555950677644</v>
      </c>
      <c r="F96">
        <f t="shared" si="10"/>
        <v>0.50843924319988099</v>
      </c>
      <c r="G96">
        <f t="shared" si="10"/>
        <v>0</v>
      </c>
      <c r="H96">
        <f t="shared" si="10"/>
        <v>0.71467526995253461</v>
      </c>
      <c r="I96">
        <f t="shared" si="10"/>
        <v>0.1282711583654193</v>
      </c>
      <c r="J96">
        <f t="shared" si="10"/>
        <v>0.82998429449609601</v>
      </c>
    </row>
    <row r="97" spans="3:10" x14ac:dyDescent="0.25">
      <c r="C97" s="16" t="s">
        <v>20</v>
      </c>
      <c r="D97">
        <f t="shared" ref="D97:J97" si="11">(D52-D$83)/D$85</f>
        <v>0.22013880459766819</v>
      </c>
      <c r="E97">
        <f t="shared" si="11"/>
        <v>0.37894463188496008</v>
      </c>
      <c r="F97">
        <f t="shared" si="11"/>
        <v>0.76150584506412211</v>
      </c>
      <c r="G97">
        <f t="shared" si="11"/>
        <v>0.69617322220311317</v>
      </c>
      <c r="H97">
        <f t="shared" si="11"/>
        <v>0.86801181212463852</v>
      </c>
      <c r="I97">
        <f t="shared" si="11"/>
        <v>0.69426910139247333</v>
      </c>
      <c r="J97">
        <f t="shared" si="11"/>
        <v>0.81420127166301515</v>
      </c>
    </row>
    <row r="98" spans="3:10" x14ac:dyDescent="0.25">
      <c r="C98" s="18" t="s">
        <v>21</v>
      </c>
      <c r="D98">
        <f t="shared" ref="D98:J98" si="12">(D53-D$83)/D$85</f>
        <v>0.47776853359844612</v>
      </c>
      <c r="E98">
        <f t="shared" si="12"/>
        <v>0.65298435240672359</v>
      </c>
      <c r="F98">
        <f t="shared" si="12"/>
        <v>0.54749103341662431</v>
      </c>
      <c r="G98">
        <f t="shared" si="12"/>
        <v>0.89086153884873676</v>
      </c>
      <c r="H98">
        <f t="shared" si="12"/>
        <v>0.56893756236859239</v>
      </c>
      <c r="I98">
        <f t="shared" si="12"/>
        <v>0.63590107974107946</v>
      </c>
      <c r="J98">
        <f t="shared" si="12"/>
        <v>0.54298081715447988</v>
      </c>
    </row>
    <row r="99" spans="3:10" x14ac:dyDescent="0.25">
      <c r="C99" s="16" t="s">
        <v>22</v>
      </c>
      <c r="D99">
        <f t="shared" ref="D99:J99" si="13">(D54-D$83)/D$85</f>
        <v>0.39066793306310649</v>
      </c>
      <c r="E99">
        <f t="shared" si="13"/>
        <v>0.28969490419027599</v>
      </c>
      <c r="F99">
        <f t="shared" si="13"/>
        <v>0.69745888206898954</v>
      </c>
      <c r="G99">
        <f t="shared" si="13"/>
        <v>0.82903661508647264</v>
      </c>
      <c r="H99">
        <f t="shared" si="13"/>
        <v>0.7046948929598974</v>
      </c>
      <c r="I99">
        <f t="shared" si="13"/>
        <v>0.8191606237900575</v>
      </c>
      <c r="J99">
        <f t="shared" si="13"/>
        <v>0.62081475657150875</v>
      </c>
    </row>
    <row r="100" spans="3:10" x14ac:dyDescent="0.25">
      <c r="C100" s="18" t="s">
        <v>23</v>
      </c>
      <c r="D100">
        <f t="shared" ref="D100:J100" si="14">(D55-D$83)/D$85</f>
        <v>0</v>
      </c>
      <c r="E100">
        <f t="shared" si="14"/>
        <v>0.26977012497580566</v>
      </c>
      <c r="F100">
        <f t="shared" si="14"/>
        <v>0.66756469182670286</v>
      </c>
      <c r="G100">
        <f t="shared" si="14"/>
        <v>0.19903187513370449</v>
      </c>
      <c r="H100">
        <f t="shared" si="14"/>
        <v>1</v>
      </c>
      <c r="I100">
        <f t="shared" si="14"/>
        <v>0.49117074346334055</v>
      </c>
      <c r="J100">
        <f t="shared" si="14"/>
        <v>1</v>
      </c>
    </row>
    <row r="101" spans="3:10" x14ac:dyDescent="0.25">
      <c r="C101" s="16" t="s">
        <v>24</v>
      </c>
      <c r="D101">
        <f t="shared" ref="D101:J101" si="15">(D56-D$83)/D$85</f>
        <v>0.40987752873564764</v>
      </c>
      <c r="E101">
        <f t="shared" si="15"/>
        <v>0.48838670011499452</v>
      </c>
      <c r="F101">
        <f t="shared" si="15"/>
        <v>0.41353979153497372</v>
      </c>
      <c r="G101">
        <f t="shared" si="15"/>
        <v>0.41884613609956417</v>
      </c>
      <c r="H101">
        <f t="shared" si="15"/>
        <v>0.56278173528679831</v>
      </c>
      <c r="I101">
        <f t="shared" si="15"/>
        <v>0.47940368150636498</v>
      </c>
      <c r="J101">
        <f t="shared" si="15"/>
        <v>0.58225390325793636</v>
      </c>
    </row>
    <row r="102" spans="3:10" x14ac:dyDescent="0.25">
      <c r="C102" s="18" t="s">
        <v>25</v>
      </c>
      <c r="D102">
        <f t="shared" ref="D102:J102" si="16">(D57-D$83)/D$85</f>
        <v>0.54404044436489396</v>
      </c>
      <c r="E102">
        <f t="shared" si="16"/>
        <v>0.63664034065679664</v>
      </c>
      <c r="F102">
        <f t="shared" si="16"/>
        <v>0.3263911435473234</v>
      </c>
      <c r="G102">
        <f t="shared" si="16"/>
        <v>0.67870251133603743</v>
      </c>
      <c r="H102">
        <f t="shared" si="16"/>
        <v>0.41788395498061881</v>
      </c>
      <c r="I102">
        <f t="shared" si="16"/>
        <v>0.53119233149623846</v>
      </c>
      <c r="J102">
        <f t="shared" si="16"/>
        <v>0.42772437403062696</v>
      </c>
    </row>
    <row r="103" spans="3:10" x14ac:dyDescent="0.25">
      <c r="C103" s="16" t="s">
        <v>26</v>
      </c>
      <c r="D103">
        <f t="shared" ref="D103:J103" si="17">(D58-D$83)/D$85</f>
        <v>0.10854937727041897</v>
      </c>
      <c r="E103">
        <f t="shared" si="17"/>
        <v>0.3649517440823406</v>
      </c>
      <c r="F103">
        <f t="shared" si="17"/>
        <v>0.71802185159431742</v>
      </c>
      <c r="G103">
        <f t="shared" si="17"/>
        <v>0.57382581302773927</v>
      </c>
      <c r="H103">
        <f t="shared" si="17"/>
        <v>0.93676315987143477</v>
      </c>
      <c r="I103">
        <f t="shared" si="17"/>
        <v>0.63660936635502807</v>
      </c>
      <c r="J103">
        <f t="shared" si="17"/>
        <v>0.8970795265215461</v>
      </c>
    </row>
    <row r="104" spans="3:10" x14ac:dyDescent="0.25">
      <c r="C104" s="18" t="s">
        <v>27</v>
      </c>
      <c r="D104">
        <f t="shared" ref="D104:J104" si="18">(D59-D$83)/D$85</f>
        <v>0.3769860793490189</v>
      </c>
      <c r="E104">
        <f t="shared" si="18"/>
        <v>0.31059884398328597</v>
      </c>
      <c r="F104">
        <f t="shared" si="18"/>
        <v>0.54873730494831463</v>
      </c>
      <c r="G104">
        <f t="shared" si="18"/>
        <v>0.5887944160839601</v>
      </c>
      <c r="H104">
        <f t="shared" si="18"/>
        <v>0.64911760869061108</v>
      </c>
      <c r="I104">
        <f t="shared" si="18"/>
        <v>0.67709258528008431</v>
      </c>
      <c r="J104">
        <f t="shared" si="18"/>
        <v>0.60831549077710723</v>
      </c>
    </row>
    <row r="105" spans="3:10" x14ac:dyDescent="0.25">
      <c r="C105" s="16" t="s">
        <v>28</v>
      </c>
      <c r="D105">
        <f t="shared" ref="D105:J105" si="19">(D60-D$83)/D$85</f>
        <v>0.53834529114324048</v>
      </c>
      <c r="E105">
        <f t="shared" si="19"/>
        <v>0.37894652948298052</v>
      </c>
      <c r="F105">
        <f t="shared" si="19"/>
        <v>0.19940794910269519</v>
      </c>
      <c r="G105">
        <f t="shared" si="19"/>
        <v>0.49628354145780812</v>
      </c>
      <c r="H105">
        <f t="shared" si="19"/>
        <v>0.36570036745286877</v>
      </c>
      <c r="I105">
        <f t="shared" si="19"/>
        <v>0.58643303014291315</v>
      </c>
      <c r="J105">
        <f t="shared" si="19"/>
        <v>0.36150351467741065</v>
      </c>
    </row>
    <row r="106" spans="3:10" x14ac:dyDescent="0.25">
      <c r="C106" s="18" t="s">
        <v>29</v>
      </c>
      <c r="D106">
        <f t="shared" ref="D106:J106" si="20">(D61-D$83)/D$85</f>
        <v>0.81780351177981303</v>
      </c>
      <c r="E106">
        <f t="shared" si="20"/>
        <v>0.91368206124687379</v>
      </c>
      <c r="F106">
        <f t="shared" si="20"/>
        <v>0.169309602461748</v>
      </c>
      <c r="G106">
        <f t="shared" si="20"/>
        <v>2.5167890804912978E-4</v>
      </c>
      <c r="H106">
        <f t="shared" si="20"/>
        <v>0.13147748757906894</v>
      </c>
      <c r="I106">
        <f t="shared" si="20"/>
        <v>0</v>
      </c>
      <c r="J106">
        <f t="shared" si="20"/>
        <v>0.30527626725757173</v>
      </c>
    </row>
    <row r="107" spans="3:10" x14ac:dyDescent="0.25">
      <c r="C107" s="16" t="s">
        <v>30</v>
      </c>
      <c r="D107">
        <f t="shared" ref="D107:J107" si="21">(D62-D$83)/D$85</f>
        <v>0.77625877547687983</v>
      </c>
      <c r="E107">
        <f t="shared" si="21"/>
        <v>0.49828646898755558</v>
      </c>
      <c r="F107">
        <f t="shared" si="21"/>
        <v>0.94445463106671568</v>
      </c>
      <c r="G107">
        <f t="shared" si="21"/>
        <v>0.69777767524192635</v>
      </c>
      <c r="H107">
        <f t="shared" si="21"/>
        <v>0.51031130394928681</v>
      </c>
      <c r="I107">
        <f t="shared" si="21"/>
        <v>0.62397674647525581</v>
      </c>
      <c r="J107">
        <f t="shared" si="21"/>
        <v>0.48995404218946553</v>
      </c>
    </row>
    <row r="108" spans="3:10" x14ac:dyDescent="0.25">
      <c r="C108" s="18" t="s">
        <v>31</v>
      </c>
      <c r="D108">
        <f t="shared" ref="D108:J108" si="22">(D63-D$83)/D$85</f>
        <v>0.28252503751536656</v>
      </c>
      <c r="E108">
        <f t="shared" si="22"/>
        <v>0.35069509015488198</v>
      </c>
      <c r="F108">
        <f t="shared" si="22"/>
        <v>0.87170540805405938</v>
      </c>
      <c r="G108">
        <f t="shared" si="22"/>
        <v>0.77754730514809201</v>
      </c>
      <c r="H108">
        <f t="shared" si="22"/>
        <v>0.8679143809792329</v>
      </c>
      <c r="I108">
        <f t="shared" si="22"/>
        <v>0.75501203295229924</v>
      </c>
      <c r="J108">
        <f t="shared" si="22"/>
        <v>0.79656247317237461</v>
      </c>
    </row>
    <row r="109" spans="3:10" x14ac:dyDescent="0.25">
      <c r="C109" s="16" t="s">
        <v>32</v>
      </c>
      <c r="D109">
        <f t="shared" ref="D109:J109" si="23">(D64-D$83)/D$85</f>
        <v>0.71852147114429554</v>
      </c>
      <c r="E109">
        <f t="shared" si="23"/>
        <v>0.95925667290343897</v>
      </c>
      <c r="F109">
        <f t="shared" si="23"/>
        <v>8.6380391315398222E-2</v>
      </c>
      <c r="G109">
        <f t="shared" si="23"/>
        <v>0.62134698551587886</v>
      </c>
      <c r="H109">
        <f t="shared" si="23"/>
        <v>0.17289766221954289</v>
      </c>
      <c r="I109">
        <f t="shared" si="23"/>
        <v>0.30788970189732562</v>
      </c>
      <c r="J109">
        <f t="shared" si="23"/>
        <v>0.25624305638598027</v>
      </c>
    </row>
    <row r="110" spans="3:10" x14ac:dyDescent="0.25">
      <c r="C110" s="18" t="s">
        <v>33</v>
      </c>
      <c r="D110">
        <f t="shared" ref="D110:J110" si="24">(D65-D$83)/D$85</f>
        <v>0.64500789471113873</v>
      </c>
      <c r="E110">
        <f t="shared" si="24"/>
        <v>0.83425619850393373</v>
      </c>
      <c r="F110">
        <f t="shared" si="24"/>
        <v>0.41638397840210317</v>
      </c>
      <c r="G110">
        <f t="shared" si="24"/>
        <v>0.74827075616927918</v>
      </c>
      <c r="H110">
        <f t="shared" si="24"/>
        <v>0.37828529107166226</v>
      </c>
      <c r="I110">
        <f t="shared" si="24"/>
        <v>0.45089344812253135</v>
      </c>
      <c r="J110">
        <f t="shared" si="24"/>
        <v>0.41277494646997454</v>
      </c>
    </row>
    <row r="111" spans="3:10" x14ac:dyDescent="0.25">
      <c r="C111" s="16" t="s">
        <v>34</v>
      </c>
      <c r="D111">
        <f t="shared" ref="D111:J111" si="25">(D66-D$83)/D$85</f>
        <v>0.22903555775611215</v>
      </c>
      <c r="E111">
        <f t="shared" si="25"/>
        <v>0.38047409588942321</v>
      </c>
      <c r="F111">
        <f t="shared" si="25"/>
        <v>0.67854702505965858</v>
      </c>
      <c r="G111">
        <f t="shared" si="25"/>
        <v>0.55181020054614316</v>
      </c>
      <c r="H111">
        <f t="shared" si="25"/>
        <v>0.82395151860297611</v>
      </c>
      <c r="I111">
        <f t="shared" si="25"/>
        <v>0.61547730710787119</v>
      </c>
      <c r="J111">
        <f t="shared" si="25"/>
        <v>0.79451892994554407</v>
      </c>
    </row>
    <row r="112" spans="3:10" x14ac:dyDescent="0.25">
      <c r="C112" s="18" t="s">
        <v>35</v>
      </c>
      <c r="D112">
        <f t="shared" ref="D112:J112" si="26">(D67-D$83)/D$85</f>
        <v>0.6263780687940711</v>
      </c>
      <c r="E112">
        <f t="shared" si="26"/>
        <v>0.78574600270977002</v>
      </c>
      <c r="F112">
        <f t="shared" si="26"/>
        <v>0</v>
      </c>
      <c r="G112">
        <f t="shared" si="26"/>
        <v>0.71201640946480471</v>
      </c>
      <c r="H112">
        <f t="shared" si="26"/>
        <v>0.20713737000145799</v>
      </c>
      <c r="I112">
        <f t="shared" si="26"/>
        <v>0.46025957686097785</v>
      </c>
      <c r="J112">
        <f t="shared" si="26"/>
        <v>0.24521359942681276</v>
      </c>
    </row>
    <row r="113" spans="3:10" x14ac:dyDescent="0.25">
      <c r="C113" s="16" t="s">
        <v>36</v>
      </c>
      <c r="D113">
        <f t="shared" ref="D113:J113" si="27">(D68-D$83)/D$85</f>
        <v>0.25734738975396615</v>
      </c>
      <c r="E113">
        <f t="shared" si="27"/>
        <v>0.47392890079737071</v>
      </c>
      <c r="F113">
        <f t="shared" si="27"/>
        <v>0.76940676520959206</v>
      </c>
      <c r="G113">
        <f t="shared" si="27"/>
        <v>0.85805938783300262</v>
      </c>
      <c r="H113">
        <f t="shared" si="27"/>
        <v>0.8421417970999483</v>
      </c>
      <c r="I113">
        <f t="shared" si="27"/>
        <v>0.72496755572099847</v>
      </c>
      <c r="J113">
        <f t="shared" si="27"/>
        <v>0.78041538964804757</v>
      </c>
    </row>
    <row r="114" spans="3:10" x14ac:dyDescent="0.25">
      <c r="C114" s="18" t="s">
        <v>37</v>
      </c>
      <c r="D114">
        <f t="shared" ref="D114:J114" si="28">(D69-D$83)/D$85</f>
        <v>0.66076142539194249</v>
      </c>
      <c r="E114">
        <f t="shared" si="28"/>
        <v>0.16238125780387189</v>
      </c>
      <c r="F114">
        <f t="shared" si="28"/>
        <v>4.8859212222943843E-2</v>
      </c>
      <c r="G114">
        <f t="shared" si="28"/>
        <v>0.64494607779395052</v>
      </c>
      <c r="H114">
        <f t="shared" si="28"/>
        <v>0.20178250679503817</v>
      </c>
      <c r="I114">
        <f t="shared" si="28"/>
        <v>0.79576001077138747</v>
      </c>
      <c r="J114">
        <f t="shared" si="28"/>
        <v>0.14314986708057503</v>
      </c>
    </row>
    <row r="115" spans="3:10" x14ac:dyDescent="0.25">
      <c r="C115" s="16" t="s">
        <v>38</v>
      </c>
      <c r="D115">
        <f t="shared" ref="D115:J115" si="29">(D70-D$83)/D$85</f>
        <v>0.38159148847955576</v>
      </c>
      <c r="E115">
        <f t="shared" si="29"/>
        <v>0</v>
      </c>
      <c r="F115">
        <f t="shared" si="29"/>
        <v>0.7751511077561789</v>
      </c>
      <c r="G115">
        <f t="shared" si="29"/>
        <v>0.84406604054547207</v>
      </c>
      <c r="H115">
        <f t="shared" si="29"/>
        <v>0.74654623718959312</v>
      </c>
      <c r="I115">
        <f t="shared" si="29"/>
        <v>1</v>
      </c>
      <c r="J115">
        <f t="shared" si="29"/>
        <v>0.60889399843688696</v>
      </c>
    </row>
    <row r="116" spans="3:10" x14ac:dyDescent="0.25">
      <c r="C116" s="18" t="s">
        <v>39</v>
      </c>
      <c r="D116">
        <f t="shared" ref="D116:J116" si="30">(D71-D$83)/D$85</f>
        <v>0.95689864568694782</v>
      </c>
      <c r="E116">
        <f t="shared" si="30"/>
        <v>0.44025222872887504</v>
      </c>
      <c r="F116">
        <f t="shared" si="30"/>
        <v>0.12095508117257067</v>
      </c>
      <c r="G116">
        <f t="shared" si="30"/>
        <v>0.62338768199531025</v>
      </c>
      <c r="H116">
        <f t="shared" si="30"/>
        <v>0</v>
      </c>
      <c r="I116">
        <f t="shared" si="30"/>
        <v>0.61844849025200754</v>
      </c>
      <c r="J116">
        <f t="shared" si="30"/>
        <v>0</v>
      </c>
    </row>
    <row r="117" spans="3:10" x14ac:dyDescent="0.25">
      <c r="C117" s="16" t="s">
        <v>41</v>
      </c>
      <c r="D117">
        <f t="shared" ref="D117:J117" si="31">(D72-D$83)/D$85</f>
        <v>0.3031400038191967</v>
      </c>
      <c r="E117">
        <f t="shared" si="31"/>
        <v>0.37394066590509739</v>
      </c>
      <c r="F117">
        <f t="shared" si="31"/>
        <v>0.57909927964522034</v>
      </c>
      <c r="G117">
        <f t="shared" si="31"/>
        <v>0.66917436734214486</v>
      </c>
      <c r="H117">
        <f t="shared" si="31"/>
        <v>0.72101316089878387</v>
      </c>
      <c r="I117">
        <f t="shared" si="31"/>
        <v>0.68268759695097314</v>
      </c>
      <c r="J117">
        <f t="shared" si="31"/>
        <v>0.67595190000987226</v>
      </c>
    </row>
    <row r="118" spans="3:10" x14ac:dyDescent="0.25">
      <c r="C118" s="18" t="s">
        <v>42</v>
      </c>
      <c r="D118">
        <f t="shared" ref="D118:J118" si="32">(D73-D$83)/D$85</f>
        <v>0.80565570792091901</v>
      </c>
      <c r="E118">
        <f t="shared" si="32"/>
        <v>1</v>
      </c>
      <c r="F118">
        <f t="shared" si="32"/>
        <v>0.4154864606638568</v>
      </c>
      <c r="G118">
        <f t="shared" si="32"/>
        <v>0.84995742431805499</v>
      </c>
      <c r="H118">
        <f t="shared" si="32"/>
        <v>0.25096396608344457</v>
      </c>
      <c r="I118">
        <f t="shared" si="32"/>
        <v>0.40692536854098615</v>
      </c>
      <c r="J118">
        <f t="shared" si="32"/>
        <v>0.30283402448914815</v>
      </c>
    </row>
    <row r="119" spans="3:10" x14ac:dyDescent="0.25">
      <c r="C119" s="16" t="s">
        <v>43</v>
      </c>
      <c r="D119">
        <f t="shared" ref="D119:J119" si="33">(D74-D$83)/D$85</f>
        <v>0.60671042771066575</v>
      </c>
      <c r="E119">
        <f t="shared" si="33"/>
        <v>0.73928141758162536</v>
      </c>
      <c r="F119">
        <f t="shared" si="33"/>
        <v>0.32451699759672353</v>
      </c>
      <c r="G119">
        <f t="shared" si="33"/>
        <v>0.20054404590623287</v>
      </c>
      <c r="H119">
        <f t="shared" si="33"/>
        <v>0.36753460386111025</v>
      </c>
      <c r="I119">
        <f t="shared" si="33"/>
        <v>0.21203906211990414</v>
      </c>
      <c r="J119">
        <f t="shared" si="33"/>
        <v>0.4714100317202824</v>
      </c>
    </row>
    <row r="120" spans="3:10" x14ac:dyDescent="0.25">
      <c r="C120" s="18" t="s">
        <v>44</v>
      </c>
      <c r="D120">
        <f t="shared" ref="D120:J120" si="34">(D75-D$83)/D$85</f>
        <v>0.72370644566604525</v>
      </c>
      <c r="E120">
        <f t="shared" si="34"/>
        <v>0.74389447836928024</v>
      </c>
      <c r="F120">
        <f t="shared" si="34"/>
        <v>3.9805969839143134E-2</v>
      </c>
      <c r="G120">
        <f t="shared" si="34"/>
        <v>0.67099903942550088</v>
      </c>
      <c r="H120">
        <f t="shared" si="34"/>
        <v>0.14801123828700616</v>
      </c>
      <c r="I120">
        <f t="shared" si="34"/>
        <v>0.46308593462718217</v>
      </c>
      <c r="J120">
        <f t="shared" si="34"/>
        <v>0.18744474783226583</v>
      </c>
    </row>
    <row r="121" spans="3:10" x14ac:dyDescent="0.25">
      <c r="C121" s="16" t="s">
        <v>45</v>
      </c>
      <c r="D121">
        <f t="shared" ref="D121:J121" si="35">(D76-D$83)/D$85</f>
        <v>0.55004632324731029</v>
      </c>
      <c r="E121">
        <f t="shared" si="35"/>
        <v>0.53085304621410223</v>
      </c>
      <c r="F121">
        <f t="shared" si="35"/>
        <v>0.18963753111669751</v>
      </c>
      <c r="G121">
        <f t="shared" si="35"/>
        <v>0.505524352031678</v>
      </c>
      <c r="H121">
        <f t="shared" si="35"/>
        <v>0.35209455913462645</v>
      </c>
      <c r="I121">
        <f t="shared" si="35"/>
        <v>0.50084349468162748</v>
      </c>
      <c r="J121">
        <f t="shared" si="35"/>
        <v>0.3731195205136722</v>
      </c>
    </row>
    <row r="122" spans="3:10" x14ac:dyDescent="0.25">
      <c r="C122" s="18" t="s">
        <v>46</v>
      </c>
      <c r="D122">
        <f t="shared" ref="D122:J122" si="36">(D77-D$83)/D$85</f>
        <v>0.15699836824558566</v>
      </c>
      <c r="E122">
        <f t="shared" si="36"/>
        <v>0.27272278749558815</v>
      </c>
      <c r="F122">
        <f t="shared" si="36"/>
        <v>0.65383106745347241</v>
      </c>
      <c r="G122">
        <f t="shared" si="36"/>
        <v>0.54329506415714834</v>
      </c>
      <c r="H122">
        <f t="shared" si="36"/>
        <v>0.86983212583052838</v>
      </c>
      <c r="I122">
        <f t="shared" si="36"/>
        <v>0.67513065398841166</v>
      </c>
      <c r="J122">
        <f t="shared" si="36"/>
        <v>0.82148260230867531</v>
      </c>
    </row>
    <row r="123" spans="3:10" x14ac:dyDescent="0.25">
      <c r="C123" s="16" t="s">
        <v>47</v>
      </c>
      <c r="D123">
        <f t="shared" ref="D123:J123" si="37">(D78-D$83)/D$85</f>
        <v>1</v>
      </c>
      <c r="E123">
        <f t="shared" si="37"/>
        <v>0.80552656447468807</v>
      </c>
      <c r="F123">
        <f t="shared" si="37"/>
        <v>0.35063058278763237</v>
      </c>
      <c r="G123">
        <f t="shared" si="37"/>
        <v>0.32818090679910572</v>
      </c>
      <c r="H123">
        <f t="shared" si="37"/>
        <v>6.8470660424050603E-2</v>
      </c>
      <c r="I123">
        <f t="shared" si="37"/>
        <v>0.24139675025429297</v>
      </c>
      <c r="J123">
        <f t="shared" si="37"/>
        <v>0.17486086718598254</v>
      </c>
    </row>
    <row r="124" spans="3:10" x14ac:dyDescent="0.25">
      <c r="C124" s="18" t="s">
        <v>48</v>
      </c>
      <c r="D124">
        <f t="shared" ref="D124:J124" si="38">(D79-D$83)/D$85</f>
        <v>0.27190232797944591</v>
      </c>
      <c r="E124">
        <f t="shared" si="38"/>
        <v>0.32792960670383431</v>
      </c>
      <c r="F124">
        <f t="shared" si="38"/>
        <v>0.70435420180301733</v>
      </c>
      <c r="G124">
        <f t="shared" si="38"/>
        <v>0.52877528848694832</v>
      </c>
      <c r="H124">
        <f t="shared" si="38"/>
        <v>0.80160426275912544</v>
      </c>
      <c r="I124">
        <f t="shared" si="38"/>
        <v>0.63438041327279338</v>
      </c>
      <c r="J124">
        <f t="shared" si="38"/>
        <v>0.76753326130035771</v>
      </c>
    </row>
    <row r="125" spans="3:10" x14ac:dyDescent="0.25">
      <c r="C125" s="16" t="s">
        <v>49</v>
      </c>
      <c r="D125">
        <f t="shared" ref="D125:J125" si="39">(D80-D$83)/D$85</f>
        <v>0.24579460238399353</v>
      </c>
      <c r="E125">
        <f t="shared" si="39"/>
        <v>0.21144555221999994</v>
      </c>
      <c r="F125">
        <f t="shared" si="39"/>
        <v>0.59359781384395971</v>
      </c>
      <c r="G125">
        <f t="shared" si="39"/>
        <v>0.71105164031728307</v>
      </c>
      <c r="H125">
        <f t="shared" si="39"/>
        <v>0.77279110265675366</v>
      </c>
      <c r="I125">
        <f t="shared" si="39"/>
        <v>0.80216740229661365</v>
      </c>
      <c r="J125">
        <f t="shared" si="39"/>
        <v>0.69131586855058347</v>
      </c>
    </row>
    <row r="126" spans="3:10" x14ac:dyDescent="0.25">
      <c r="C126" s="18" t="s">
        <v>51</v>
      </c>
      <c r="D126">
        <f t="shared" ref="D126:J126" si="40">(D81-D$83)/D$85</f>
        <v>0.52098276245334219</v>
      </c>
      <c r="E126">
        <f t="shared" si="40"/>
        <v>0.65492369758359881</v>
      </c>
      <c r="F126">
        <f t="shared" si="40"/>
        <v>0.86281972859452849</v>
      </c>
      <c r="G126">
        <f t="shared" si="40"/>
        <v>0.5089199199661073</v>
      </c>
      <c r="H126">
        <f t="shared" si="40"/>
        <v>0.67555313155561092</v>
      </c>
      <c r="I126">
        <f t="shared" si="40"/>
        <v>0.42869782750618624</v>
      </c>
      <c r="J126">
        <f t="shared" si="40"/>
        <v>0.70552535090057011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B8B1C-B21D-4074-8B1B-9BED0A5F197B}">
  <sheetPr codeName="Sheet7"/>
  <dimension ref="A1:K126"/>
  <sheetViews>
    <sheetView tabSelected="1" topLeftCell="A81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0.382373953283136</v>
      </c>
      <c r="E2">
        <v>3.7859999999999999E-3</v>
      </c>
      <c r="F2">
        <v>-8.7698462238020122E-2</v>
      </c>
      <c r="G2">
        <v>1.5772999999999999E-2</v>
      </c>
      <c r="H2">
        <v>-0.47007241552115614</v>
      </c>
      <c r="I2">
        <v>1.1986999999999999E-2</v>
      </c>
      <c r="J2">
        <v>-0.48205941552115616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0.2066035327724482</v>
      </c>
      <c r="E3">
        <v>4.3747000000000001E-2</v>
      </c>
      <c r="F3">
        <v>5.989804258373016E-2</v>
      </c>
      <c r="G3">
        <v>3.9851999999999999E-2</v>
      </c>
      <c r="H3">
        <v>-0.14670549018871804</v>
      </c>
      <c r="I3">
        <v>-3.8950000000000026E-3</v>
      </c>
      <c r="J3">
        <v>-0.14281049018871803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0.27581926718358979</v>
      </c>
      <c r="E4">
        <v>9.6906000000000006E-2</v>
      </c>
      <c r="F4">
        <v>3.5001848054845908E-2</v>
      </c>
      <c r="G4">
        <v>1.2330000000000001E-2</v>
      </c>
      <c r="H4">
        <v>-0.24081741912874388</v>
      </c>
      <c r="I4">
        <v>-8.4576000000000012E-2</v>
      </c>
      <c r="J4">
        <v>-0.15624141912874387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0.35974996221837618</v>
      </c>
      <c r="E5">
        <v>5.4903E-2</v>
      </c>
      <c r="F5">
        <v>0.63160253516555376</v>
      </c>
      <c r="G5">
        <v>-0.12700900000000001</v>
      </c>
      <c r="H5">
        <v>0.27185257294717757</v>
      </c>
      <c r="I5">
        <v>-0.18191200000000002</v>
      </c>
      <c r="J5">
        <v>0.45376457294717759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0.66511370787368806</v>
      </c>
      <c r="E6">
        <v>4.6280000000000002E-2</v>
      </c>
      <c r="F6">
        <v>0.99657025429788537</v>
      </c>
      <c r="G6">
        <v>-5.0600000000000005E-4</v>
      </c>
      <c r="H6">
        <v>0.33145654642419731</v>
      </c>
      <c r="I6">
        <v>-4.6786000000000001E-2</v>
      </c>
      <c r="J6">
        <v>0.3782425464241973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0.62254675844904772</v>
      </c>
      <c r="E7">
        <v>0.175566</v>
      </c>
      <c r="F7">
        <v>0.55228250959283343</v>
      </c>
      <c r="G7">
        <v>3.6249999999999998E-2</v>
      </c>
      <c r="H7">
        <v>-7.0264248856214295E-2</v>
      </c>
      <c r="I7">
        <v>-0.139316</v>
      </c>
      <c r="J7">
        <v>6.90517511437857E-2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1.4479160016823831</v>
      </c>
      <c r="E8">
        <v>0.13925399999999999</v>
      </c>
      <c r="F8">
        <v>0.7238486822115533</v>
      </c>
      <c r="G8">
        <v>0.217226</v>
      </c>
      <c r="H8">
        <v>-0.72406731947082981</v>
      </c>
      <c r="I8">
        <v>7.7972000000000014E-2</v>
      </c>
      <c r="J8">
        <v>-0.80203931947082985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1.0628615200697638</v>
      </c>
      <c r="E9">
        <v>0.19956699999999999</v>
      </c>
      <c r="F9">
        <v>0.72428407951852269</v>
      </c>
      <c r="G9">
        <v>-0.25957200000000002</v>
      </c>
      <c r="H9">
        <v>-0.33857744055124106</v>
      </c>
      <c r="I9">
        <v>-0.45913900000000002</v>
      </c>
      <c r="J9">
        <v>0.12056155944875896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0.4981239189240339</v>
      </c>
      <c r="E10">
        <v>3.1259000000000002E-2</v>
      </c>
      <c r="F10">
        <v>0.11241343104594116</v>
      </c>
      <c r="G10">
        <v>7.2361999999999996E-2</v>
      </c>
      <c r="H10">
        <v>-0.38571048787809276</v>
      </c>
      <c r="I10">
        <v>4.1102999999999994E-2</v>
      </c>
      <c r="J10">
        <v>-0.42681348787809276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1.0686959217800891</v>
      </c>
      <c r="E11">
        <v>0.175673</v>
      </c>
      <c r="F11">
        <v>0.95390283134929998</v>
      </c>
      <c r="G11">
        <v>0.165189</v>
      </c>
      <c r="H11">
        <v>-0.11479309043078911</v>
      </c>
      <c r="I11">
        <v>-1.0483999999999993E-2</v>
      </c>
      <c r="J11">
        <v>-0.10430909043078912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0.78088606053165366</v>
      </c>
      <c r="E12">
        <v>-1.5774E-2</v>
      </c>
      <c r="F12">
        <v>1.1488511445517291</v>
      </c>
      <c r="G12">
        <v>0.135711</v>
      </c>
      <c r="H12">
        <v>0.36796508402007544</v>
      </c>
      <c r="I12">
        <v>0.15148500000000001</v>
      </c>
      <c r="J12">
        <v>0.21648008402007543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0.53999112194075871</v>
      </c>
      <c r="E13">
        <v>-2.6273999999999999E-2</v>
      </c>
      <c r="F13">
        <v>1.2050025346185136</v>
      </c>
      <c r="G13">
        <v>-0.16467399999999999</v>
      </c>
      <c r="H13">
        <v>0.66501141267775488</v>
      </c>
      <c r="I13">
        <v>-0.1384</v>
      </c>
      <c r="J13">
        <v>0.80341141267775484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0.44725775632859938</v>
      </c>
      <c r="E14">
        <v>8.8932999999999998E-2</v>
      </c>
      <c r="F14">
        <v>0.75372827742427684</v>
      </c>
      <c r="G14">
        <v>-5.9866999999999997E-2</v>
      </c>
      <c r="H14">
        <v>0.30647052109567746</v>
      </c>
      <c r="I14">
        <v>-0.14879999999999999</v>
      </c>
      <c r="J14">
        <v>0.45527052109567745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1.0441132909690904</v>
      </c>
      <c r="E15">
        <v>0.16705999999999999</v>
      </c>
      <c r="F15">
        <v>0.92951543462696307</v>
      </c>
      <c r="G15">
        <v>6.4032000000000006E-2</v>
      </c>
      <c r="H15">
        <v>-0.11459785634212738</v>
      </c>
      <c r="I15">
        <v>-0.10302799999999998</v>
      </c>
      <c r="J15">
        <v>-1.1569856342127399E-2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0.65502974861357532</v>
      </c>
      <c r="E16">
        <v>2.3885E-2</v>
      </c>
      <c r="F16">
        <v>1.1092598909129381</v>
      </c>
      <c r="G16">
        <v>1.4027E-2</v>
      </c>
      <c r="H16">
        <v>0.45423014229936276</v>
      </c>
      <c r="I16">
        <v>-9.8580000000000004E-3</v>
      </c>
      <c r="J16">
        <v>0.46408814229936274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0.85502984311944563</v>
      </c>
      <c r="E17">
        <v>-4.7580000000000001E-3</v>
      </c>
      <c r="F17">
        <v>1.0149972291063913</v>
      </c>
      <c r="G17">
        <v>2.1163999999999999E-2</v>
      </c>
      <c r="H17">
        <v>0.15996738598694571</v>
      </c>
      <c r="I17">
        <v>2.5922000000000001E-2</v>
      </c>
      <c r="J17">
        <v>0.13404538598694571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0.34665632693410031</v>
      </c>
      <c r="E18">
        <v>3.1260000000000003E-2</v>
      </c>
      <c r="F18">
        <v>0.62844451666741774</v>
      </c>
      <c r="G18">
        <v>-2.2945E-2</v>
      </c>
      <c r="H18">
        <v>0.28178818973331743</v>
      </c>
      <c r="I18">
        <v>-5.4205000000000003E-2</v>
      </c>
      <c r="J18">
        <v>0.33599318973331743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1.5118748978700485</v>
      </c>
      <c r="E19">
        <v>0.313056</v>
      </c>
      <c r="F19">
        <v>1.0383408587703267</v>
      </c>
      <c r="G19">
        <v>-0.25945200000000002</v>
      </c>
      <c r="H19">
        <v>-0.4735340390997218</v>
      </c>
      <c r="I19">
        <v>-0.57250800000000002</v>
      </c>
      <c r="J19">
        <v>9.8973960900278213E-2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1.3024454505417369</v>
      </c>
      <c r="E20">
        <v>9.4149999999999998E-2</v>
      </c>
      <c r="F20">
        <v>1.304094092943209</v>
      </c>
      <c r="G20">
        <v>7.3126999999999998E-2</v>
      </c>
      <c r="H20">
        <v>1.6486424014721113E-3</v>
      </c>
      <c r="I20">
        <v>-2.1023E-2</v>
      </c>
      <c r="J20">
        <v>2.2671642401472111E-2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0.4623935817107912</v>
      </c>
      <c r="E21">
        <v>1.6372000000000001E-2</v>
      </c>
      <c r="F21">
        <v>0.23373552492160202</v>
      </c>
      <c r="G21">
        <v>0.111161</v>
      </c>
      <c r="H21">
        <v>-0.22865805678918918</v>
      </c>
      <c r="I21">
        <v>9.4788999999999998E-2</v>
      </c>
      <c r="J21">
        <v>-0.32344705678918917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1.4232693219484158</v>
      </c>
      <c r="E22">
        <v>0.33707300000000001</v>
      </c>
      <c r="F22">
        <v>0.37310546664897393</v>
      </c>
      <c r="G22">
        <v>3.6685000000000002E-2</v>
      </c>
      <c r="H22">
        <v>-1.0501638552994419</v>
      </c>
      <c r="I22">
        <v>-0.30038799999999999</v>
      </c>
      <c r="J22">
        <v>-0.74977585529944191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0.90254860327306519</v>
      </c>
      <c r="E23">
        <v>0.2712</v>
      </c>
      <c r="F23">
        <v>0.92261650265903328</v>
      </c>
      <c r="G23">
        <v>9.7201999999999997E-2</v>
      </c>
      <c r="H23">
        <v>2.0067899385968091E-2</v>
      </c>
      <c r="I23">
        <v>-0.17399799999999999</v>
      </c>
      <c r="J23">
        <v>0.19406589938596808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0.50746433496582843</v>
      </c>
      <c r="E24">
        <v>3.2065000000000003E-2</v>
      </c>
      <c r="F24">
        <v>-3.2420708201566464E-2</v>
      </c>
      <c r="G24">
        <v>3.5300000000000002E-3</v>
      </c>
      <c r="H24">
        <v>-0.53988504316739494</v>
      </c>
      <c r="I24">
        <v>-2.8535000000000005E-2</v>
      </c>
      <c r="J24">
        <v>-0.51135004316739496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1.520875636623086</v>
      </c>
      <c r="E25">
        <v>0.24563599999999999</v>
      </c>
      <c r="F25">
        <v>0.43856338225768549</v>
      </c>
      <c r="G25">
        <v>7.9916000000000001E-2</v>
      </c>
      <c r="H25">
        <v>-1.0823122543654005</v>
      </c>
      <c r="I25">
        <v>-0.16571999999999998</v>
      </c>
      <c r="J25">
        <v>-0.91659225436540048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0.45323849838784308</v>
      </c>
      <c r="E26">
        <v>8.1313999999999997E-2</v>
      </c>
      <c r="F26">
        <v>0.95136861460341882</v>
      </c>
      <c r="G26">
        <v>0.14954899999999999</v>
      </c>
      <c r="H26">
        <v>0.49813011621557574</v>
      </c>
      <c r="I26">
        <v>6.823499999999999E-2</v>
      </c>
      <c r="J26">
        <v>0.42989511621557575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0.65523937725035253</v>
      </c>
      <c r="E27">
        <v>-8.2865999999999995E-2</v>
      </c>
      <c r="F27">
        <v>7.6828707570341756E-2</v>
      </c>
      <c r="G27">
        <v>4.7937E-2</v>
      </c>
      <c r="H27">
        <v>-0.57841066968001076</v>
      </c>
      <c r="I27">
        <v>0.130803</v>
      </c>
      <c r="J27">
        <v>-0.70921366968001076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1.301990984395613</v>
      </c>
      <c r="E28">
        <v>-0.168438</v>
      </c>
      <c r="F28">
        <v>1.4195871426497559</v>
      </c>
      <c r="G28">
        <v>0.142877</v>
      </c>
      <c r="H28">
        <v>0.11759615825414294</v>
      </c>
      <c r="I28">
        <v>0.31131500000000001</v>
      </c>
      <c r="J28">
        <v>-0.19371884174585707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0.79449012894562943</v>
      </c>
      <c r="E29">
        <v>6.3566999999999999E-2</v>
      </c>
      <c r="F29">
        <v>0.78070135440594179</v>
      </c>
      <c r="G29">
        <v>3.7657999999999997E-2</v>
      </c>
      <c r="H29">
        <v>-1.3788774539687632E-2</v>
      </c>
      <c r="I29">
        <v>-2.5909000000000001E-2</v>
      </c>
      <c r="J29">
        <v>1.212022546031237E-2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1.641883629396748</v>
      </c>
      <c r="E30">
        <v>0.81220199999999998</v>
      </c>
      <c r="F30">
        <v>1.8505650199937025</v>
      </c>
      <c r="G30">
        <v>0.70438599999999996</v>
      </c>
      <c r="H30">
        <v>0.20868139059695445</v>
      </c>
      <c r="I30">
        <v>-0.10781600000000002</v>
      </c>
      <c r="J30">
        <v>0.31649739059695448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1.0908200446518099</v>
      </c>
      <c r="E31">
        <v>2.8622000000000002E-2</v>
      </c>
      <c r="F31">
        <v>0.99063456841693376</v>
      </c>
      <c r="G31">
        <v>5.9489E-2</v>
      </c>
      <c r="H31">
        <v>-0.10018547623487617</v>
      </c>
      <c r="I31">
        <v>3.0866999999999999E-2</v>
      </c>
      <c r="J31">
        <v>-0.13105247623487618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1.7385038546524485</v>
      </c>
      <c r="E32">
        <v>0.35854399999999997</v>
      </c>
      <c r="F32">
        <v>0.58249150613937029</v>
      </c>
      <c r="G32">
        <v>0.14568600000000001</v>
      </c>
      <c r="H32">
        <v>-1.1560123485130782</v>
      </c>
      <c r="I32">
        <v>-0.21285799999999996</v>
      </c>
      <c r="J32">
        <v>-0.94315434851307822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1.2649006991182576</v>
      </c>
      <c r="E33">
        <v>0.22115000000000001</v>
      </c>
      <c r="F33">
        <v>0.90128809082444949</v>
      </c>
      <c r="G33">
        <v>-0.16395299999999999</v>
      </c>
      <c r="H33">
        <v>-0.36361260829380815</v>
      </c>
      <c r="I33">
        <v>-0.38510299999999997</v>
      </c>
      <c r="J33">
        <v>2.1490391706191825E-2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1.5850715517119236</v>
      </c>
      <c r="E34">
        <v>0.223581</v>
      </c>
      <c r="F34">
        <v>0.48929353581482782</v>
      </c>
      <c r="G34">
        <v>6.0359000000000003E-2</v>
      </c>
      <c r="H34">
        <v>-1.0957780158970958</v>
      </c>
      <c r="I34">
        <v>-0.16322200000000001</v>
      </c>
      <c r="J34">
        <v>-0.9325560158970958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0.70465106184963233</v>
      </c>
      <c r="E35">
        <v>0.11131199999999999</v>
      </c>
      <c r="F35">
        <v>1.0294508811605536</v>
      </c>
      <c r="G35">
        <v>-1.8539E-2</v>
      </c>
      <c r="H35">
        <v>0.32479981931092128</v>
      </c>
      <c r="I35">
        <v>-0.12985099999999999</v>
      </c>
      <c r="J35">
        <v>0.45465081931092127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1.1271162707206102</v>
      </c>
      <c r="E36">
        <v>-2.4718E-2</v>
      </c>
      <c r="F36">
        <v>1.0795087997896471</v>
      </c>
      <c r="G36">
        <v>-5.2999999999999998E-4</v>
      </c>
      <c r="H36">
        <v>-4.7607470930963069E-2</v>
      </c>
      <c r="I36">
        <v>2.4188000000000001E-2</v>
      </c>
      <c r="J36">
        <v>-7.1795470930963071E-2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1.7883720122055269</v>
      </c>
      <c r="E37">
        <v>0.25606000000000001</v>
      </c>
      <c r="F37">
        <v>0.88117576575681111</v>
      </c>
      <c r="G37">
        <v>-0.10309599999999999</v>
      </c>
      <c r="H37">
        <v>-0.90719624644871577</v>
      </c>
      <c r="I37">
        <v>-0.35915600000000003</v>
      </c>
      <c r="J37">
        <v>-0.54804024644871574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0.38662806871381078</v>
      </c>
      <c r="E38">
        <v>4.3750000000000004E-3</v>
      </c>
      <c r="F38">
        <v>0.73423537238981174</v>
      </c>
      <c r="G38">
        <v>-7.4530000000000004E-3</v>
      </c>
      <c r="H38">
        <v>0.34760730367600096</v>
      </c>
      <c r="I38">
        <v>-1.1828000000000002E-2</v>
      </c>
      <c r="J38">
        <v>0.35943530367600096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0.98009318647297539</v>
      </c>
      <c r="E39">
        <v>-5.7009999999999998E-2</v>
      </c>
      <c r="F39">
        <v>1.3279950168751988</v>
      </c>
      <c r="G39">
        <v>7.9455999999999999E-2</v>
      </c>
      <c r="H39">
        <v>0.34790183040222344</v>
      </c>
      <c r="I39">
        <v>0.136466</v>
      </c>
      <c r="J39">
        <v>0.21143583040222344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1.0812592115983422</v>
      </c>
      <c r="G40">
        <v>0.99823200000000001</v>
      </c>
      <c r="H40">
        <v>-0.91874078840165785</v>
      </c>
      <c r="I40">
        <v>-8.2908999999999899E-2</v>
      </c>
      <c r="J40">
        <v>-0.83583178840165795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0.55992201404805086</v>
      </c>
      <c r="E41">
        <v>0.17669499999999999</v>
      </c>
      <c r="F41">
        <v>0.77848715092830634</v>
      </c>
      <c r="G41">
        <v>-1.6920000000000001E-2</v>
      </c>
      <c r="H41">
        <v>0.21856513688025547</v>
      </c>
      <c r="I41">
        <v>-0.19361499999999998</v>
      </c>
      <c r="J41">
        <v>0.41218013688025545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0.382373953283136</v>
      </c>
      <c r="E44" s="8">
        <v>3.7859999999999999E-3</v>
      </c>
      <c r="F44" s="8">
        <v>-8.7698462238020122E-2</v>
      </c>
      <c r="G44" s="8">
        <v>1.5772999999999999E-2</v>
      </c>
      <c r="H44" s="8">
        <v>-0.47007241552115614</v>
      </c>
      <c r="I44" s="8">
        <v>1.1986999999999999E-2</v>
      </c>
      <c r="J44" s="8">
        <v>-0.48205941552115616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0.2066035327724482</v>
      </c>
      <c r="E45" s="10">
        <v>4.3747000000000001E-2</v>
      </c>
      <c r="F45" s="10">
        <v>5.989804258373016E-2</v>
      </c>
      <c r="G45" s="10">
        <v>3.9851999999999999E-2</v>
      </c>
      <c r="H45" s="10">
        <v>-0.14670549018871804</v>
      </c>
      <c r="I45" s="10">
        <v>-3.8950000000000026E-3</v>
      </c>
      <c r="J45" s="10">
        <v>-0.14281049018871803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0.27581926718358979</v>
      </c>
      <c r="E46" s="8">
        <v>9.6906000000000006E-2</v>
      </c>
      <c r="F46" s="8">
        <v>3.5001848054845908E-2</v>
      </c>
      <c r="G46" s="8">
        <v>1.2330000000000001E-2</v>
      </c>
      <c r="H46" s="8">
        <v>-0.24081741912874388</v>
      </c>
      <c r="I46" s="8">
        <v>-8.4576000000000012E-2</v>
      </c>
      <c r="J46" s="8">
        <v>-0.15624141912874387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0.35974996221837618</v>
      </c>
      <c r="E47" s="10">
        <v>5.4903E-2</v>
      </c>
      <c r="F47" s="10">
        <v>0.63160253516555376</v>
      </c>
      <c r="G47" s="10">
        <v>-0.12700900000000001</v>
      </c>
      <c r="H47" s="10">
        <v>0.27185257294717757</v>
      </c>
      <c r="I47" s="10">
        <v>-0.18191200000000002</v>
      </c>
      <c r="J47" s="10">
        <v>0.45376457294717759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0.66511370787368806</v>
      </c>
      <c r="E48" s="8">
        <v>4.6280000000000002E-2</v>
      </c>
      <c r="F48" s="8">
        <v>0.99657025429788537</v>
      </c>
      <c r="G48" s="8">
        <v>-5.0600000000000005E-4</v>
      </c>
      <c r="H48" s="8">
        <v>0.33145654642419731</v>
      </c>
      <c r="I48" s="8">
        <v>-4.6786000000000001E-2</v>
      </c>
      <c r="J48" s="8">
        <v>0.3782425464241973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0.62254675844904772</v>
      </c>
      <c r="E49" s="10">
        <v>0.175566</v>
      </c>
      <c r="F49" s="10">
        <v>0.55228250959283343</v>
      </c>
      <c r="G49" s="10">
        <v>3.6249999999999998E-2</v>
      </c>
      <c r="H49" s="10">
        <v>-7.0264248856214295E-2</v>
      </c>
      <c r="I49" s="10">
        <v>-0.139316</v>
      </c>
      <c r="J49" s="10">
        <v>6.90517511437857E-2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1.4479160016823831</v>
      </c>
      <c r="E50" s="8">
        <v>0.13925399999999999</v>
      </c>
      <c r="F50" s="8">
        <v>0.7238486822115533</v>
      </c>
      <c r="G50" s="8">
        <v>0.217226</v>
      </c>
      <c r="H50" s="8">
        <v>-0.72406731947082981</v>
      </c>
      <c r="I50" s="8">
        <v>7.7972000000000014E-2</v>
      </c>
      <c r="J50" s="8">
        <v>-0.80203931947082985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1.0628615200697638</v>
      </c>
      <c r="E51" s="10">
        <v>0.19956699999999999</v>
      </c>
      <c r="F51" s="10">
        <v>0.72428407951852269</v>
      </c>
      <c r="G51" s="10">
        <v>-0.25957200000000002</v>
      </c>
      <c r="H51" s="10">
        <v>-0.33857744055124106</v>
      </c>
      <c r="I51" s="10">
        <v>-0.45913900000000002</v>
      </c>
      <c r="J51" s="10">
        <v>0.12056155944875896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0.4981239189240339</v>
      </c>
      <c r="E52" s="8">
        <v>3.1259000000000002E-2</v>
      </c>
      <c r="F52" s="8">
        <v>0.11241343104594116</v>
      </c>
      <c r="G52" s="8">
        <v>7.2361999999999996E-2</v>
      </c>
      <c r="H52" s="8">
        <v>-0.38571048787809276</v>
      </c>
      <c r="I52" s="8">
        <v>4.1102999999999994E-2</v>
      </c>
      <c r="J52" s="8">
        <v>-0.42681348787809276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1.0686959217800891</v>
      </c>
      <c r="E53" s="10">
        <v>0.175673</v>
      </c>
      <c r="F53" s="10">
        <v>0.95390283134929998</v>
      </c>
      <c r="G53" s="10">
        <v>0.165189</v>
      </c>
      <c r="H53" s="10">
        <v>-0.11479309043078911</v>
      </c>
      <c r="I53" s="10">
        <v>-1.0483999999999993E-2</v>
      </c>
      <c r="J53" s="10">
        <v>-0.10430909043078912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0.78088606053165366</v>
      </c>
      <c r="E54" s="8">
        <v>-1.5774E-2</v>
      </c>
      <c r="F54" s="8">
        <v>1.1488511445517291</v>
      </c>
      <c r="G54" s="8">
        <v>0.135711</v>
      </c>
      <c r="H54" s="8">
        <v>0.36796508402007544</v>
      </c>
      <c r="I54" s="8">
        <v>0.15148500000000001</v>
      </c>
      <c r="J54" s="8">
        <v>0.21648008402007543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0.53999112194075871</v>
      </c>
      <c r="E55" s="10">
        <v>-2.6273999999999999E-2</v>
      </c>
      <c r="F55" s="10">
        <v>1.2050025346185136</v>
      </c>
      <c r="G55" s="10">
        <v>-0.16467399999999999</v>
      </c>
      <c r="H55" s="10">
        <v>0.66501141267775488</v>
      </c>
      <c r="I55" s="10">
        <v>-0.1384</v>
      </c>
      <c r="J55" s="10">
        <v>0.80341141267775484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0.44725775632859938</v>
      </c>
      <c r="E56" s="8">
        <v>8.8932999999999998E-2</v>
      </c>
      <c r="F56" s="8">
        <v>0.75372827742427684</v>
      </c>
      <c r="G56" s="8">
        <v>-5.9866999999999997E-2</v>
      </c>
      <c r="H56" s="8">
        <v>0.30647052109567746</v>
      </c>
      <c r="I56" s="8">
        <v>-0.14879999999999999</v>
      </c>
      <c r="J56" s="8">
        <v>0.45527052109567745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1.0441132909690904</v>
      </c>
      <c r="E57" s="10">
        <v>0.16705999999999999</v>
      </c>
      <c r="F57" s="10">
        <v>0.92951543462696307</v>
      </c>
      <c r="G57" s="10">
        <v>6.4032000000000006E-2</v>
      </c>
      <c r="H57" s="10">
        <v>-0.11459785634212738</v>
      </c>
      <c r="I57" s="10">
        <v>-0.10302799999999998</v>
      </c>
      <c r="J57" s="10">
        <v>-1.1569856342127399E-2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0.65502974861357532</v>
      </c>
      <c r="E58" s="8">
        <v>2.3885E-2</v>
      </c>
      <c r="F58" s="8">
        <v>1.1092598909129381</v>
      </c>
      <c r="G58" s="8">
        <v>1.4027E-2</v>
      </c>
      <c r="H58" s="8">
        <v>0.45423014229936276</v>
      </c>
      <c r="I58" s="8">
        <v>-9.8580000000000004E-3</v>
      </c>
      <c r="J58" s="8">
        <v>0.46408814229936274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0.85502984311944563</v>
      </c>
      <c r="E59" s="10">
        <v>-4.7580000000000001E-3</v>
      </c>
      <c r="F59" s="10">
        <v>1.0149972291063913</v>
      </c>
      <c r="G59" s="10">
        <v>2.1163999999999999E-2</v>
      </c>
      <c r="H59" s="10">
        <v>0.15996738598694571</v>
      </c>
      <c r="I59" s="10">
        <v>2.5922000000000001E-2</v>
      </c>
      <c r="J59" s="10">
        <v>0.13404538598694571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0.34665632693410031</v>
      </c>
      <c r="E60" s="8">
        <v>3.1260000000000003E-2</v>
      </c>
      <c r="F60" s="8">
        <v>0.62844451666741774</v>
      </c>
      <c r="G60" s="8">
        <v>-2.2945E-2</v>
      </c>
      <c r="H60" s="8">
        <v>0.28178818973331743</v>
      </c>
      <c r="I60" s="8">
        <v>-5.4205000000000003E-2</v>
      </c>
      <c r="J60" s="8">
        <v>0.33599318973331743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1.5118748978700485</v>
      </c>
      <c r="E61" s="10">
        <v>0.313056</v>
      </c>
      <c r="F61" s="10">
        <v>1.0383408587703267</v>
      </c>
      <c r="G61" s="10">
        <v>-0.25945200000000002</v>
      </c>
      <c r="H61" s="10">
        <v>-0.4735340390997218</v>
      </c>
      <c r="I61" s="10">
        <v>-0.57250800000000002</v>
      </c>
      <c r="J61" s="10">
        <v>9.8973960900278213E-2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1.3024454505417369</v>
      </c>
      <c r="E62" s="8">
        <v>9.4149999999999998E-2</v>
      </c>
      <c r="F62" s="8">
        <v>1.304094092943209</v>
      </c>
      <c r="G62" s="8">
        <v>7.3126999999999998E-2</v>
      </c>
      <c r="H62" s="8">
        <v>1.6486424014721113E-3</v>
      </c>
      <c r="I62" s="8">
        <v>-2.1023E-2</v>
      </c>
      <c r="J62" s="8">
        <v>2.2671642401472111E-2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0.4623935817107912</v>
      </c>
      <c r="E63" s="10">
        <v>1.6372000000000001E-2</v>
      </c>
      <c r="F63" s="10">
        <v>0.23373552492160202</v>
      </c>
      <c r="G63" s="10">
        <v>0.111161</v>
      </c>
      <c r="H63" s="10">
        <v>-0.22865805678918918</v>
      </c>
      <c r="I63" s="10">
        <v>9.4788999999999998E-2</v>
      </c>
      <c r="J63" s="10">
        <v>-0.32344705678918917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1.4232693219484158</v>
      </c>
      <c r="E64" s="8">
        <v>0.33707300000000001</v>
      </c>
      <c r="F64" s="8">
        <v>0.37310546664897393</v>
      </c>
      <c r="G64" s="8">
        <v>3.6685000000000002E-2</v>
      </c>
      <c r="H64" s="8">
        <v>-1.0501638552994419</v>
      </c>
      <c r="I64" s="8">
        <v>-0.30038799999999999</v>
      </c>
      <c r="J64" s="8">
        <v>-0.74977585529944191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0.90254860327306519</v>
      </c>
      <c r="E65" s="10">
        <v>0.2712</v>
      </c>
      <c r="F65" s="10">
        <v>0.92261650265903328</v>
      </c>
      <c r="G65" s="10">
        <v>9.7201999999999997E-2</v>
      </c>
      <c r="H65" s="10">
        <v>2.0067899385968091E-2</v>
      </c>
      <c r="I65" s="10">
        <v>-0.17399799999999999</v>
      </c>
      <c r="J65" s="10">
        <v>0.19406589938596808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0.50746433496582843</v>
      </c>
      <c r="E66" s="8">
        <v>3.2065000000000003E-2</v>
      </c>
      <c r="F66" s="8">
        <v>-3.2420708201566464E-2</v>
      </c>
      <c r="G66" s="8">
        <v>3.5300000000000002E-3</v>
      </c>
      <c r="H66" s="8">
        <v>-0.53988504316739494</v>
      </c>
      <c r="I66" s="8">
        <v>-2.8535000000000005E-2</v>
      </c>
      <c r="J66" s="8">
        <v>-0.51135004316739496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1.520875636623086</v>
      </c>
      <c r="E67" s="10">
        <v>0.24563599999999999</v>
      </c>
      <c r="F67" s="10">
        <v>0.43856338225768549</v>
      </c>
      <c r="G67" s="10">
        <v>7.9916000000000001E-2</v>
      </c>
      <c r="H67" s="10">
        <v>-1.0823122543654005</v>
      </c>
      <c r="I67" s="10">
        <v>-0.16571999999999998</v>
      </c>
      <c r="J67" s="10">
        <v>-0.91659225436540048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0.45323849838784308</v>
      </c>
      <c r="E68" s="8">
        <v>8.1313999999999997E-2</v>
      </c>
      <c r="F68" s="8">
        <v>0.95136861460341882</v>
      </c>
      <c r="G68" s="8">
        <v>0.14954899999999999</v>
      </c>
      <c r="H68" s="8">
        <v>0.49813011621557574</v>
      </c>
      <c r="I68" s="8">
        <v>6.823499999999999E-2</v>
      </c>
      <c r="J68" s="8">
        <v>0.42989511621557575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0.65523937725035253</v>
      </c>
      <c r="E69" s="10">
        <v>-8.2865999999999995E-2</v>
      </c>
      <c r="F69" s="10">
        <v>7.6828707570341756E-2</v>
      </c>
      <c r="G69" s="10">
        <v>4.7937E-2</v>
      </c>
      <c r="H69" s="10">
        <v>-0.57841066968001076</v>
      </c>
      <c r="I69" s="10">
        <v>0.130803</v>
      </c>
      <c r="J69" s="10">
        <v>-0.70921366968001076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1.301990984395613</v>
      </c>
      <c r="E70" s="8">
        <v>-0.168438</v>
      </c>
      <c r="F70" s="8">
        <v>1.4195871426497559</v>
      </c>
      <c r="G70" s="8">
        <v>0.142877</v>
      </c>
      <c r="H70" s="8">
        <v>0.11759615825414294</v>
      </c>
      <c r="I70" s="8">
        <v>0.31131500000000001</v>
      </c>
      <c r="J70" s="8">
        <v>-0.19371884174585707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0.79449012894562943</v>
      </c>
      <c r="E71" s="10">
        <v>6.3566999999999999E-2</v>
      </c>
      <c r="F71" s="10">
        <v>0.78070135440594179</v>
      </c>
      <c r="G71" s="10">
        <v>3.7657999999999997E-2</v>
      </c>
      <c r="H71" s="10">
        <v>-1.3788774539687632E-2</v>
      </c>
      <c r="I71" s="10">
        <v>-2.5909000000000001E-2</v>
      </c>
      <c r="J71" s="10">
        <v>1.212022546031237E-2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1.0908200446518099</v>
      </c>
      <c r="E72" s="8">
        <v>2.8622000000000002E-2</v>
      </c>
      <c r="F72" s="8">
        <v>0.99063456841693376</v>
      </c>
      <c r="G72" s="8">
        <v>5.9489E-2</v>
      </c>
      <c r="H72" s="8">
        <v>-0.10018547623487617</v>
      </c>
      <c r="I72" s="8">
        <v>3.0866999999999999E-2</v>
      </c>
      <c r="J72" s="8">
        <v>-0.13105247623487618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1.7385038546524485</v>
      </c>
      <c r="E73" s="10">
        <v>0.35854399999999997</v>
      </c>
      <c r="F73" s="10">
        <v>0.58249150613937029</v>
      </c>
      <c r="G73" s="10">
        <v>0.14568600000000001</v>
      </c>
      <c r="H73" s="10">
        <v>-1.1560123485130782</v>
      </c>
      <c r="I73" s="10">
        <v>-0.21285799999999996</v>
      </c>
      <c r="J73" s="10">
        <v>-0.94315434851307822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1.2649006991182576</v>
      </c>
      <c r="E74" s="8">
        <v>0.22115000000000001</v>
      </c>
      <c r="F74" s="8">
        <v>0.90128809082444949</v>
      </c>
      <c r="G74" s="8">
        <v>-0.16395299999999999</v>
      </c>
      <c r="H74" s="8">
        <v>-0.36361260829380815</v>
      </c>
      <c r="I74" s="8">
        <v>-0.38510299999999997</v>
      </c>
      <c r="J74" s="8">
        <v>2.1490391706191825E-2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1.5850715517119236</v>
      </c>
      <c r="E75" s="10">
        <v>0.223581</v>
      </c>
      <c r="F75" s="10">
        <v>0.48929353581482782</v>
      </c>
      <c r="G75" s="10">
        <v>6.0359000000000003E-2</v>
      </c>
      <c r="H75" s="10">
        <v>-1.0957780158970958</v>
      </c>
      <c r="I75" s="10">
        <v>-0.16322200000000001</v>
      </c>
      <c r="J75" s="10">
        <v>-0.9325560158970958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0.70465106184963233</v>
      </c>
      <c r="E76" s="8">
        <v>0.11131199999999999</v>
      </c>
      <c r="F76" s="8">
        <v>1.0294508811605536</v>
      </c>
      <c r="G76" s="8">
        <v>-1.8539E-2</v>
      </c>
      <c r="H76" s="8">
        <v>0.32479981931092128</v>
      </c>
      <c r="I76" s="8">
        <v>-0.12985099999999999</v>
      </c>
      <c r="J76" s="8">
        <v>0.45465081931092127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1.1271162707206102</v>
      </c>
      <c r="E77" s="10">
        <v>-2.4718E-2</v>
      </c>
      <c r="F77" s="10">
        <v>1.0795087997896471</v>
      </c>
      <c r="G77" s="10">
        <v>-5.2999999999999998E-4</v>
      </c>
      <c r="H77" s="10">
        <v>-4.7607470930963069E-2</v>
      </c>
      <c r="I77" s="10">
        <v>2.4188000000000001E-2</v>
      </c>
      <c r="J77" s="10">
        <v>-7.1795470930963071E-2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1.7883720122055269</v>
      </c>
      <c r="E78" s="8">
        <v>0.25606000000000001</v>
      </c>
      <c r="F78" s="8">
        <v>0.88117576575681111</v>
      </c>
      <c r="G78" s="8">
        <v>-0.10309599999999999</v>
      </c>
      <c r="H78" s="8">
        <v>-0.90719624644871577</v>
      </c>
      <c r="I78" s="8">
        <v>-0.35915600000000003</v>
      </c>
      <c r="J78" s="8">
        <v>-0.54804024644871574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0.38662806871381078</v>
      </c>
      <c r="E79" s="10">
        <v>4.3750000000000004E-3</v>
      </c>
      <c r="F79" s="10">
        <v>0.73423537238981174</v>
      </c>
      <c r="G79" s="10">
        <v>-7.4530000000000004E-3</v>
      </c>
      <c r="H79" s="10">
        <v>0.34760730367600096</v>
      </c>
      <c r="I79" s="10">
        <v>-1.1828000000000002E-2</v>
      </c>
      <c r="J79" s="10">
        <v>0.35943530367600096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0.98009318647297539</v>
      </c>
      <c r="E80" s="8">
        <v>-5.7009999999999998E-2</v>
      </c>
      <c r="F80" s="8">
        <v>1.3279950168751988</v>
      </c>
      <c r="G80" s="8">
        <v>7.9455999999999999E-2</v>
      </c>
      <c r="H80" s="8">
        <v>0.34790183040222344</v>
      </c>
      <c r="I80" s="8">
        <v>0.136466</v>
      </c>
      <c r="J80" s="8">
        <v>0.21143583040222344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0.55992201404805086</v>
      </c>
      <c r="E81" s="10">
        <v>0.17669499999999999</v>
      </c>
      <c r="F81" s="10">
        <v>0.77848715092830634</v>
      </c>
      <c r="G81" s="10">
        <v>-1.6920000000000001E-2</v>
      </c>
      <c r="H81" s="10">
        <v>0.21856513688025547</v>
      </c>
      <c r="I81" s="10">
        <v>-0.19361499999999998</v>
      </c>
      <c r="J81" s="10">
        <v>0.41218013688025545</v>
      </c>
      <c r="K81" s="11" t="b">
        <v>1</v>
      </c>
    </row>
    <row r="83" spans="1:11" x14ac:dyDescent="0.25">
      <c r="C83" t="s">
        <v>52</v>
      </c>
      <c r="D83">
        <f>MIN(D44:D81)</f>
        <v>0.2066035327724482</v>
      </c>
      <c r="E83">
        <f t="shared" ref="E83:J83" si="0">MIN(E44:E81)</f>
        <v>-0.168438</v>
      </c>
      <c r="F83">
        <f t="shared" si="0"/>
        <v>-8.7698462238020122E-2</v>
      </c>
      <c r="G83">
        <f t="shared" si="0"/>
        <v>-0.25957200000000002</v>
      </c>
      <c r="H83">
        <f t="shared" si="0"/>
        <v>-1.1560123485130782</v>
      </c>
      <c r="I83">
        <f t="shared" si="0"/>
        <v>-0.57250800000000002</v>
      </c>
      <c r="J83">
        <f t="shared" si="0"/>
        <v>-0.94315434851307822</v>
      </c>
    </row>
    <row r="84" spans="1:11" x14ac:dyDescent="0.25">
      <c r="C84" t="s">
        <v>53</v>
      </c>
      <c r="D84">
        <f>MAX(D44:D81)</f>
        <v>1.7883720122055269</v>
      </c>
      <c r="E84">
        <f t="shared" ref="E84:J84" si="1">MAX(E44:E81)</f>
        <v>0.35854399999999997</v>
      </c>
      <c r="F84">
        <f t="shared" si="1"/>
        <v>1.4195871426497559</v>
      </c>
      <c r="G84">
        <f t="shared" si="1"/>
        <v>0.217226</v>
      </c>
      <c r="H84">
        <f t="shared" si="1"/>
        <v>0.66501141267775488</v>
      </c>
      <c r="I84">
        <f t="shared" si="1"/>
        <v>0.31131500000000001</v>
      </c>
      <c r="J84">
        <f t="shared" si="1"/>
        <v>0.80341141267775484</v>
      </c>
    </row>
    <row r="85" spans="1:11" x14ac:dyDescent="0.25">
      <c r="C85" t="s">
        <v>54</v>
      </c>
      <c r="D85">
        <f>D84-D83</f>
        <v>1.5817684794330786</v>
      </c>
      <c r="E85">
        <f t="shared" ref="E85:J85" si="2">E84-E83</f>
        <v>0.52698199999999995</v>
      </c>
      <c r="F85">
        <f t="shared" si="2"/>
        <v>1.5072856048877761</v>
      </c>
      <c r="G85">
        <f t="shared" si="2"/>
        <v>0.47679800000000006</v>
      </c>
      <c r="H85">
        <f t="shared" si="2"/>
        <v>1.8210237611908331</v>
      </c>
      <c r="I85">
        <f t="shared" si="2"/>
        <v>0.88382300000000003</v>
      </c>
      <c r="J85">
        <f t="shared" si="2"/>
        <v>1.746565761190833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0.11112272294974904</v>
      </c>
      <c r="E89">
        <f t="shared" ref="E89:J89" si="3">(E44-E$83)/E$85</f>
        <v>0.32681192146980359</v>
      </c>
      <c r="F89">
        <f t="shared" si="3"/>
        <v>0</v>
      </c>
      <c r="G89">
        <f t="shared" si="3"/>
        <v>0.57748774113985368</v>
      </c>
      <c r="H89">
        <f t="shared" si="3"/>
        <v>0.3766781892748951</v>
      </c>
      <c r="I89">
        <f t="shared" si="3"/>
        <v>0.66132585370600216</v>
      </c>
      <c r="J89">
        <f t="shared" si="3"/>
        <v>0.26400090007349114</v>
      </c>
    </row>
    <row r="90" spans="1:11" x14ac:dyDescent="0.25">
      <c r="C90" s="18" t="s">
        <v>13</v>
      </c>
      <c r="D90">
        <f t="shared" ref="D90:J90" si="4">(D45-D$83)/D$85</f>
        <v>0</v>
      </c>
      <c r="E90">
        <f t="shared" si="4"/>
        <v>0.4026418359640368</v>
      </c>
      <c r="F90">
        <f t="shared" si="4"/>
        <v>9.7922055609852052E-2</v>
      </c>
      <c r="G90">
        <f t="shared" si="4"/>
        <v>0.62798921136414165</v>
      </c>
      <c r="H90">
        <f t="shared" si="4"/>
        <v>0.55425243746646002</v>
      </c>
      <c r="I90">
        <f t="shared" si="4"/>
        <v>0.64335619235978247</v>
      </c>
      <c r="J90">
        <f t="shared" si="4"/>
        <v>0.45823860521499893</v>
      </c>
    </row>
    <row r="91" spans="1:11" x14ac:dyDescent="0.25">
      <c r="C91" s="16" t="s">
        <v>14</v>
      </c>
      <c r="D91">
        <f t="shared" ref="D91:J91" si="5">(D46-D$83)/D$85</f>
        <v>4.3758448414618296E-2</v>
      </c>
      <c r="E91">
        <f t="shared" si="5"/>
        <v>0.503516249131849</v>
      </c>
      <c r="F91">
        <f t="shared" si="5"/>
        <v>8.14048179687894E-2</v>
      </c>
      <c r="G91">
        <f t="shared" si="5"/>
        <v>0.57026665380307806</v>
      </c>
      <c r="H91">
        <f t="shared" si="5"/>
        <v>0.50257165715721108</v>
      </c>
      <c r="I91">
        <f t="shared" si="5"/>
        <v>0.5520698148837494</v>
      </c>
      <c r="J91">
        <f t="shared" si="5"/>
        <v>0.45054869783305845</v>
      </c>
    </row>
    <row r="92" spans="1:11" x14ac:dyDescent="0.25">
      <c r="C92" s="18" t="s">
        <v>15</v>
      </c>
      <c r="D92">
        <f t="shared" ref="D92:J92" si="6">(D47-D$83)/D$85</f>
        <v>9.6819750448445638E-2</v>
      </c>
      <c r="E92">
        <f t="shared" si="6"/>
        <v>0.4238114394799064</v>
      </c>
      <c r="F92">
        <f t="shared" si="6"/>
        <v>0.47721612617479287</v>
      </c>
      <c r="G92">
        <f t="shared" si="6"/>
        <v>0.27802759239761909</v>
      </c>
      <c r="H92">
        <f t="shared" si="6"/>
        <v>0.78410010450743561</v>
      </c>
      <c r="I92">
        <f t="shared" si="6"/>
        <v>0.44193916655257898</v>
      </c>
      <c r="J92">
        <f t="shared" si="6"/>
        <v>0.79980894650529333</v>
      </c>
    </row>
    <row r="93" spans="1:11" x14ac:dyDescent="0.25">
      <c r="C93" s="16" t="s">
        <v>16</v>
      </c>
      <c r="D93">
        <f t="shared" ref="D93:J93" si="7">(D48-D$83)/D$85</f>
        <v>0.28987186245206659</v>
      </c>
      <c r="E93">
        <f t="shared" si="7"/>
        <v>0.40744845174977523</v>
      </c>
      <c r="F93">
        <f t="shared" si="7"/>
        <v>0.71935186869686452</v>
      </c>
      <c r="G93">
        <f t="shared" si="7"/>
        <v>0.54334539993875808</v>
      </c>
      <c r="H93">
        <f t="shared" si="7"/>
        <v>0.81683112908124056</v>
      </c>
      <c r="I93">
        <f t="shared" si="7"/>
        <v>0.59482724482164417</v>
      </c>
      <c r="J93">
        <f t="shared" si="7"/>
        <v>0.75656864705530957</v>
      </c>
    </row>
    <row r="94" spans="1:11" x14ac:dyDescent="0.25">
      <c r="C94" s="18" t="s">
        <v>17</v>
      </c>
      <c r="D94">
        <f t="shared" ref="D94:J94" si="8">(D49-D$83)/D$85</f>
        <v>0.2629608764398173</v>
      </c>
      <c r="E94">
        <f t="shared" si="8"/>
        <v>0.65278130941853807</v>
      </c>
      <c r="F94">
        <f t="shared" si="8"/>
        <v>0.424591709597401</v>
      </c>
      <c r="G94">
        <f t="shared" si="8"/>
        <v>0.62043464947420079</v>
      </c>
      <c r="H94">
        <f t="shared" si="8"/>
        <v>0.59622950715747602</v>
      </c>
      <c r="I94">
        <f t="shared" si="8"/>
        <v>0.49013433685251462</v>
      </c>
      <c r="J94">
        <f t="shared" si="8"/>
        <v>0.5795407892152471</v>
      </c>
    </row>
    <row r="95" spans="1:11" x14ac:dyDescent="0.25">
      <c r="C95" s="16" t="s">
        <v>18</v>
      </c>
      <c r="D95">
        <f t="shared" ref="D95:J95" si="9">(D50-D$83)/D$85</f>
        <v>0.78476242575957356</v>
      </c>
      <c r="E95">
        <f t="shared" si="9"/>
        <v>0.58387573010083837</v>
      </c>
      <c r="F95">
        <f t="shared" si="9"/>
        <v>0.53841630399568274</v>
      </c>
      <c r="G95">
        <f t="shared" si="9"/>
        <v>1</v>
      </c>
      <c r="H95">
        <f t="shared" si="9"/>
        <v>0.23719900763940827</v>
      </c>
      <c r="I95">
        <f t="shared" si="9"/>
        <v>0.73598446747821689</v>
      </c>
      <c r="J95">
        <f t="shared" si="9"/>
        <v>8.0795714755128478E-2</v>
      </c>
    </row>
    <row r="96" spans="1:11" x14ac:dyDescent="0.25">
      <c r="C96" s="18" t="s">
        <v>19</v>
      </c>
      <c r="D96">
        <f t="shared" ref="D96:J96" si="10">(D51-D$83)/D$85</f>
        <v>0.54132952984636962</v>
      </c>
      <c r="E96">
        <f t="shared" si="10"/>
        <v>0.69832555950677644</v>
      </c>
      <c r="F96">
        <f t="shared" si="10"/>
        <v>0.53870516584479589</v>
      </c>
      <c r="G96">
        <f t="shared" si="10"/>
        <v>0</v>
      </c>
      <c r="H96">
        <f t="shared" si="10"/>
        <v>0.44888755730858065</v>
      </c>
      <c r="I96">
        <f t="shared" si="10"/>
        <v>0.1282711583654193</v>
      </c>
      <c r="J96">
        <f t="shared" si="10"/>
        <v>0.60903284124645896</v>
      </c>
    </row>
    <row r="97" spans="3:10" x14ac:dyDescent="0.25">
      <c r="C97" s="16" t="s">
        <v>20</v>
      </c>
      <c r="D97">
        <f t="shared" ref="D97:J97" si="11">(D52-D$83)/D$85</f>
        <v>0.18430028790058423</v>
      </c>
      <c r="E97">
        <f t="shared" si="11"/>
        <v>0.37894463188496008</v>
      </c>
      <c r="F97">
        <f t="shared" si="11"/>
        <v>0.13276308924801314</v>
      </c>
      <c r="G97">
        <f t="shared" si="11"/>
        <v>0.69617322220311317</v>
      </c>
      <c r="H97">
        <f t="shared" si="11"/>
        <v>0.4230048377464648</v>
      </c>
      <c r="I97">
        <f t="shared" si="11"/>
        <v>0.69426910139247333</v>
      </c>
      <c r="J97">
        <f t="shared" si="11"/>
        <v>0.29563207530355862</v>
      </c>
    </row>
    <row r="98" spans="3:10" x14ac:dyDescent="0.25">
      <c r="C98" s="18" t="s">
        <v>21</v>
      </c>
      <c r="D98">
        <f t="shared" ref="D98:J98" si="12">(D53-D$83)/D$85</f>
        <v>0.54501806061821589</v>
      </c>
      <c r="E98">
        <f t="shared" si="12"/>
        <v>0.65298435240672359</v>
      </c>
      <c r="F98">
        <f t="shared" si="12"/>
        <v>0.69104441136414341</v>
      </c>
      <c r="G98">
        <f t="shared" si="12"/>
        <v>0.89086153884873676</v>
      </c>
      <c r="H98">
        <f t="shared" si="12"/>
        <v>0.57177686544924511</v>
      </c>
      <c r="I98">
        <f t="shared" si="12"/>
        <v>0.63590107974107946</v>
      </c>
      <c r="J98">
        <f t="shared" si="12"/>
        <v>0.48028266482812115</v>
      </c>
    </row>
    <row r="99" spans="3:10" x14ac:dyDescent="0.25">
      <c r="C99" s="16" t="s">
        <v>22</v>
      </c>
      <c r="D99">
        <f t="shared" ref="D99:J99" si="13">(D54-D$83)/D$85</f>
        <v>0.36306358055954807</v>
      </c>
      <c r="E99">
        <f t="shared" si="13"/>
        <v>0.28969490419027599</v>
      </c>
      <c r="F99">
        <f t="shared" si="13"/>
        <v>0.82038175298689708</v>
      </c>
      <c r="G99">
        <f t="shared" si="13"/>
        <v>0.82903661508647264</v>
      </c>
      <c r="H99">
        <f t="shared" si="13"/>
        <v>0.83687948779788013</v>
      </c>
      <c r="I99">
        <f t="shared" si="13"/>
        <v>0.8191606237900575</v>
      </c>
      <c r="J99">
        <f t="shared" si="13"/>
        <v>0.66395119972035788</v>
      </c>
    </row>
    <row r="100" spans="3:10" x14ac:dyDescent="0.25">
      <c r="C100" s="18" t="s">
        <v>23</v>
      </c>
      <c r="D100">
        <f t="shared" ref="D100:J100" si="14">(D55-D$83)/D$85</f>
        <v>0.21076889159392018</v>
      </c>
      <c r="E100">
        <f t="shared" si="14"/>
        <v>0.26977012497580566</v>
      </c>
      <c r="F100">
        <f t="shared" si="14"/>
        <v>0.857635071060591</v>
      </c>
      <c r="G100">
        <f t="shared" si="14"/>
        <v>0.19903187513370449</v>
      </c>
      <c r="H100">
        <f t="shared" si="14"/>
        <v>1</v>
      </c>
      <c r="I100">
        <f t="shared" si="14"/>
        <v>0.49117074346334055</v>
      </c>
      <c r="J100">
        <f t="shared" si="14"/>
        <v>1</v>
      </c>
    </row>
    <row r="101" spans="3:10" x14ac:dyDescent="0.25">
      <c r="C101" s="16" t="s">
        <v>24</v>
      </c>
      <c r="D101">
        <f t="shared" ref="D101:J101" si="15">(D56-D$83)/D$85</f>
        <v>0.15214250801255316</v>
      </c>
      <c r="E101">
        <f t="shared" si="15"/>
        <v>0.48838670011499452</v>
      </c>
      <c r="F101">
        <f t="shared" si="15"/>
        <v>0.55823975027277251</v>
      </c>
      <c r="G101">
        <f t="shared" si="15"/>
        <v>0.41884613609956417</v>
      </c>
      <c r="H101">
        <f t="shared" si="15"/>
        <v>0.80311026180810807</v>
      </c>
      <c r="I101">
        <f t="shared" si="15"/>
        <v>0.47940368150636498</v>
      </c>
      <c r="J101">
        <f t="shared" si="15"/>
        <v>0.80067118037129614</v>
      </c>
    </row>
    <row r="102" spans="3:10" x14ac:dyDescent="0.25">
      <c r="C102" s="18" t="s">
        <v>25</v>
      </c>
      <c r="D102">
        <f t="shared" ref="D102:J102" si="16">(D57-D$83)/D$85</f>
        <v>0.52947682868027179</v>
      </c>
      <c r="E102">
        <f t="shared" si="16"/>
        <v>0.63664034065679664</v>
      </c>
      <c r="F102">
        <f t="shared" si="16"/>
        <v>0.67486473271316028</v>
      </c>
      <c r="G102">
        <f t="shared" si="16"/>
        <v>0.67870251133603743</v>
      </c>
      <c r="H102">
        <f t="shared" si="16"/>
        <v>0.57188407661958907</v>
      </c>
      <c r="I102">
        <f t="shared" si="16"/>
        <v>0.53119233149623846</v>
      </c>
      <c r="J102">
        <f t="shared" si="16"/>
        <v>0.53338071366736484</v>
      </c>
    </row>
    <row r="103" spans="3:10" x14ac:dyDescent="0.25">
      <c r="C103" s="16" t="s">
        <v>26</v>
      </c>
      <c r="D103">
        <f t="shared" ref="D103:J103" si="17">(D58-D$83)/D$85</f>
        <v>0.28349674536557179</v>
      </c>
      <c r="E103">
        <f t="shared" si="17"/>
        <v>0.3649517440823406</v>
      </c>
      <c r="F103">
        <f t="shared" si="17"/>
        <v>0.79411516256076564</v>
      </c>
      <c r="G103">
        <f t="shared" si="17"/>
        <v>0.57382581302773927</v>
      </c>
      <c r="H103">
        <f t="shared" si="17"/>
        <v>0.88425122457460148</v>
      </c>
      <c r="I103">
        <f t="shared" si="17"/>
        <v>0.63660936635502807</v>
      </c>
      <c r="J103">
        <f t="shared" si="17"/>
        <v>0.80571972844180995</v>
      </c>
    </row>
    <row r="104" spans="3:10" x14ac:dyDescent="0.25">
      <c r="C104" s="18" t="s">
        <v>27</v>
      </c>
      <c r="D104">
        <f t="shared" ref="D104:J104" si="18">(D59-D$83)/D$85</f>
        <v>0.4099375596227583</v>
      </c>
      <c r="E104">
        <f t="shared" si="18"/>
        <v>0.31059884398328597</v>
      </c>
      <c r="F104">
        <f t="shared" si="18"/>
        <v>0.73157713957369874</v>
      </c>
      <c r="G104">
        <f t="shared" si="18"/>
        <v>0.5887944160839601</v>
      </c>
      <c r="H104">
        <f t="shared" si="18"/>
        <v>0.72265928789389178</v>
      </c>
      <c r="I104">
        <f t="shared" si="18"/>
        <v>0.67709258528008431</v>
      </c>
      <c r="J104">
        <f t="shared" si="18"/>
        <v>0.61675303526251091</v>
      </c>
    </row>
    <row r="105" spans="3:10" x14ac:dyDescent="0.25">
      <c r="C105" s="16" t="s">
        <v>28</v>
      </c>
      <c r="D105">
        <f t="shared" ref="D105:J105" si="19">(D60-D$83)/D$85</f>
        <v>8.8541904825318318E-2</v>
      </c>
      <c r="E105">
        <f t="shared" si="19"/>
        <v>0.37894652948298052</v>
      </c>
      <c r="F105">
        <f t="shared" si="19"/>
        <v>0.47512095689307521</v>
      </c>
      <c r="G105">
        <f t="shared" si="19"/>
        <v>0.49628354145780812</v>
      </c>
      <c r="H105">
        <f t="shared" si="19"/>
        <v>0.78955616554183017</v>
      </c>
      <c r="I105">
        <f t="shared" si="19"/>
        <v>0.58643303014291315</v>
      </c>
      <c r="J105">
        <f t="shared" si="19"/>
        <v>0.73237868660281935</v>
      </c>
    </row>
    <row r="106" spans="3:10" x14ac:dyDescent="0.25">
      <c r="C106" s="18" t="s">
        <v>29</v>
      </c>
      <c r="D106">
        <f t="shared" ref="D106:J106" si="20">(D61-D$83)/D$85</f>
        <v>0.82519748121761938</v>
      </c>
      <c r="E106">
        <f t="shared" si="20"/>
        <v>0.91368206124687379</v>
      </c>
      <c r="F106">
        <f t="shared" si="20"/>
        <v>0.74706433694905838</v>
      </c>
      <c r="G106">
        <f t="shared" si="20"/>
        <v>2.5167890804912978E-4</v>
      </c>
      <c r="H106">
        <f t="shared" si="20"/>
        <v>0.37477726757780427</v>
      </c>
      <c r="I106">
        <f t="shared" si="20"/>
        <v>0</v>
      </c>
      <c r="J106">
        <f t="shared" si="20"/>
        <v>0.59667281505783032</v>
      </c>
    </row>
    <row r="107" spans="3:10" x14ac:dyDescent="0.25">
      <c r="C107" s="16" t="s">
        <v>30</v>
      </c>
      <c r="D107">
        <f t="shared" ref="D107:J107" si="21">(D62-D$83)/D$85</f>
        <v>0.69279539453337013</v>
      </c>
      <c r="E107">
        <f t="shared" si="21"/>
        <v>0.49828646898755558</v>
      </c>
      <c r="F107">
        <f t="shared" si="21"/>
        <v>0.92337679778004256</v>
      </c>
      <c r="G107">
        <f t="shared" si="21"/>
        <v>0.69777767524192635</v>
      </c>
      <c r="H107">
        <f t="shared" si="21"/>
        <v>0.63571987119899742</v>
      </c>
      <c r="I107">
        <f t="shared" si="21"/>
        <v>0.62397674647525581</v>
      </c>
      <c r="J107">
        <f t="shared" si="21"/>
        <v>0.55298575775127801</v>
      </c>
    </row>
    <row r="108" spans="3:10" x14ac:dyDescent="0.25">
      <c r="C108" s="18" t="s">
        <v>31</v>
      </c>
      <c r="D108">
        <f t="shared" ref="D108:J108" si="22">(D63-D$83)/D$85</f>
        <v>0.16171143391984943</v>
      </c>
      <c r="E108">
        <f t="shared" si="22"/>
        <v>0.35069509015488198</v>
      </c>
      <c r="F108">
        <f t="shared" si="22"/>
        <v>0.21325353742999109</v>
      </c>
      <c r="G108">
        <f t="shared" si="22"/>
        <v>0.77754730514809201</v>
      </c>
      <c r="H108">
        <f t="shared" si="22"/>
        <v>0.50924886950264647</v>
      </c>
      <c r="I108">
        <f t="shared" si="22"/>
        <v>0.75501203295229924</v>
      </c>
      <c r="J108">
        <f t="shared" si="22"/>
        <v>0.35481474874519697</v>
      </c>
    </row>
    <row r="109" spans="3:10" x14ac:dyDescent="0.25">
      <c r="C109" s="16" t="s">
        <v>32</v>
      </c>
      <c r="D109">
        <f t="shared" ref="D109:J109" si="23">(D64-D$83)/D$85</f>
        <v>0.76918070185090082</v>
      </c>
      <c r="E109">
        <f t="shared" si="23"/>
        <v>0.95925667290343897</v>
      </c>
      <c r="F109">
        <f t="shared" si="23"/>
        <v>0.30571772688116589</v>
      </c>
      <c r="G109">
        <f t="shared" si="23"/>
        <v>0.62134698551587886</v>
      </c>
      <c r="H109">
        <f t="shared" si="23"/>
        <v>5.8125816625488824E-2</v>
      </c>
      <c r="I109">
        <f t="shared" si="23"/>
        <v>0.30788970189732562</v>
      </c>
      <c r="J109">
        <f t="shared" si="23"/>
        <v>0.11071927408091875</v>
      </c>
    </row>
    <row r="110" spans="3:10" x14ac:dyDescent="0.25">
      <c r="C110" s="18" t="s">
        <v>33</v>
      </c>
      <c r="D110">
        <f t="shared" ref="D110:J110" si="24">(D65-D$83)/D$85</f>
        <v>0.43997909905882715</v>
      </c>
      <c r="E110">
        <f t="shared" si="24"/>
        <v>0.83425619850393373</v>
      </c>
      <c r="F110">
        <f t="shared" si="24"/>
        <v>0.67028767581992243</v>
      </c>
      <c r="G110">
        <f t="shared" si="24"/>
        <v>0.74827075616927918</v>
      </c>
      <c r="H110">
        <f t="shared" si="24"/>
        <v>0.64583465244295613</v>
      </c>
      <c r="I110">
        <f t="shared" si="24"/>
        <v>0.45089344812253135</v>
      </c>
      <c r="J110">
        <f t="shared" si="24"/>
        <v>0.65111790988257645</v>
      </c>
    </row>
    <row r="111" spans="3:10" x14ac:dyDescent="0.25">
      <c r="C111" s="16" t="s">
        <v>34</v>
      </c>
      <c r="D111">
        <f t="shared" ref="D111:J111" si="25">(D66-D$83)/D$85</f>
        <v>0.19020533415940347</v>
      </c>
      <c r="E111">
        <f t="shared" si="25"/>
        <v>0.38047409588942321</v>
      </c>
      <c r="F111">
        <f t="shared" si="25"/>
        <v>3.6673709254039698E-2</v>
      </c>
      <c r="G111">
        <f t="shared" si="25"/>
        <v>0.55181020054614316</v>
      </c>
      <c r="H111">
        <f t="shared" si="25"/>
        <v>0.33834116746657683</v>
      </c>
      <c r="I111">
        <f t="shared" si="25"/>
        <v>0.61547730710787119</v>
      </c>
      <c r="J111">
        <f t="shared" si="25"/>
        <v>0.24723048793265764</v>
      </c>
    </row>
    <row r="112" spans="3:10" x14ac:dyDescent="0.25">
      <c r="C112" s="18" t="s">
        <v>35</v>
      </c>
      <c r="D112">
        <f t="shared" ref="D112:J112" si="26">(D67-D$83)/D$85</f>
        <v>0.8308877822130365</v>
      </c>
      <c r="E112">
        <f t="shared" si="26"/>
        <v>0.78574600270977002</v>
      </c>
      <c r="F112">
        <f t="shared" si="26"/>
        <v>0.34914540601274302</v>
      </c>
      <c r="G112">
        <f t="shared" si="26"/>
        <v>0.71201640946480471</v>
      </c>
      <c r="H112">
        <f t="shared" si="26"/>
        <v>4.0471791592374726E-2</v>
      </c>
      <c r="I112">
        <f t="shared" si="26"/>
        <v>0.46025957686097785</v>
      </c>
      <c r="J112">
        <f t="shared" si="26"/>
        <v>1.5208184391274986E-2</v>
      </c>
    </row>
    <row r="113" spans="3:10" x14ac:dyDescent="0.25">
      <c r="C113" s="16" t="s">
        <v>36</v>
      </c>
      <c r="D113">
        <f t="shared" ref="D113:J113" si="27">(D68-D$83)/D$85</f>
        <v>0.15592355570506203</v>
      </c>
      <c r="E113">
        <f t="shared" si="27"/>
        <v>0.47392890079737071</v>
      </c>
      <c r="F113">
        <f t="shared" si="27"/>
        <v>0.68936309978147903</v>
      </c>
      <c r="G113">
        <f t="shared" si="27"/>
        <v>0.85805938783300262</v>
      </c>
      <c r="H113">
        <f t="shared" si="27"/>
        <v>0.90835852885683965</v>
      </c>
      <c r="I113">
        <f t="shared" si="27"/>
        <v>0.72496755572099847</v>
      </c>
      <c r="J113">
        <f t="shared" si="27"/>
        <v>0.78614243748399693</v>
      </c>
    </row>
    <row r="114" spans="3:10" x14ac:dyDescent="0.25">
      <c r="C114" s="18" t="s">
        <v>37</v>
      </c>
      <c r="D114">
        <f t="shared" ref="D114:J114" si="28">(D69-D$83)/D$85</f>
        <v>0.28362927338057703</v>
      </c>
      <c r="E114">
        <f t="shared" si="28"/>
        <v>0.16238125780387189</v>
      </c>
      <c r="F114">
        <f t="shared" si="28"/>
        <v>0.1091546083070379</v>
      </c>
      <c r="G114">
        <f t="shared" si="28"/>
        <v>0.64494607779395052</v>
      </c>
      <c r="H114">
        <f t="shared" si="28"/>
        <v>0.31718514120614927</v>
      </c>
      <c r="I114">
        <f t="shared" si="28"/>
        <v>0.79576001077138747</v>
      </c>
      <c r="J114">
        <f t="shared" si="28"/>
        <v>0.13394324109134226</v>
      </c>
    </row>
    <row r="115" spans="3:10" x14ac:dyDescent="0.25">
      <c r="C115" s="16" t="s">
        <v>38</v>
      </c>
      <c r="D115">
        <f t="shared" ref="D115:J115" si="29">(D70-D$83)/D$85</f>
        <v>0.69250807932129388</v>
      </c>
      <c r="E115">
        <f t="shared" si="29"/>
        <v>0</v>
      </c>
      <c r="F115">
        <f t="shared" si="29"/>
        <v>1</v>
      </c>
      <c r="G115">
        <f t="shared" si="29"/>
        <v>0.84406604054547207</v>
      </c>
      <c r="H115">
        <f t="shared" si="29"/>
        <v>0.6993914818191953</v>
      </c>
      <c r="I115">
        <f t="shared" si="29"/>
        <v>1</v>
      </c>
      <c r="J115">
        <f t="shared" si="29"/>
        <v>0.42909091854419817</v>
      </c>
    </row>
    <row r="116" spans="3:10" x14ac:dyDescent="0.25">
      <c r="C116" s="18" t="s">
        <v>39</v>
      </c>
      <c r="D116">
        <f t="shared" ref="D116:J116" si="30">(D71-D$83)/D$85</f>
        <v>0.37166412393290671</v>
      </c>
      <c r="E116">
        <f t="shared" si="30"/>
        <v>0.44025222872887504</v>
      </c>
      <c r="F116">
        <f t="shared" si="30"/>
        <v>0.57613488367960497</v>
      </c>
      <c r="G116">
        <f t="shared" si="30"/>
        <v>0.62338768199531025</v>
      </c>
      <c r="H116">
        <f t="shared" si="30"/>
        <v>0.62724254252808287</v>
      </c>
      <c r="I116">
        <f t="shared" si="30"/>
        <v>0.61844849025200754</v>
      </c>
      <c r="J116">
        <f t="shared" si="30"/>
        <v>0.54694452118543246</v>
      </c>
    </row>
    <row r="117" spans="3:10" x14ac:dyDescent="0.25">
      <c r="C117" s="16" t="s">
        <v>41</v>
      </c>
      <c r="D117">
        <f t="shared" ref="D117:J117" si="31">(D72-D$83)/D$85</f>
        <v>0.55900501456210172</v>
      </c>
      <c r="E117">
        <f t="shared" si="31"/>
        <v>0.37394066590509739</v>
      </c>
      <c r="F117">
        <f t="shared" si="31"/>
        <v>0.71541387190202776</v>
      </c>
      <c r="G117">
        <f t="shared" si="31"/>
        <v>0.66917436734214486</v>
      </c>
      <c r="H117">
        <f t="shared" si="31"/>
        <v>0.57979851486822931</v>
      </c>
      <c r="I117">
        <f t="shared" si="31"/>
        <v>0.68268759695097314</v>
      </c>
      <c r="J117">
        <f t="shared" si="31"/>
        <v>0.46497068150729098</v>
      </c>
    </row>
    <row r="118" spans="3:10" x14ac:dyDescent="0.25">
      <c r="C118" s="18" t="s">
        <v>42</v>
      </c>
      <c r="D118">
        <f t="shared" ref="D118:J118" si="32">(D73-D$83)/D$85</f>
        <v>0.96847316266477146</v>
      </c>
      <c r="E118">
        <f t="shared" si="32"/>
        <v>1</v>
      </c>
      <c r="F118">
        <f t="shared" si="32"/>
        <v>0.44463369530241681</v>
      </c>
      <c r="G118">
        <f t="shared" si="32"/>
        <v>0.84995742431805499</v>
      </c>
      <c r="H118">
        <f t="shared" si="32"/>
        <v>0</v>
      </c>
      <c r="I118">
        <f t="shared" si="32"/>
        <v>0.40692536854098615</v>
      </c>
      <c r="J118">
        <f t="shared" si="32"/>
        <v>0</v>
      </c>
    </row>
    <row r="119" spans="3:10" x14ac:dyDescent="0.25">
      <c r="C119" s="16" t="s">
        <v>43</v>
      </c>
      <c r="D119">
        <f t="shared" ref="D119:J119" si="33">(D74-D$83)/D$85</f>
        <v>0.66905946104395342</v>
      </c>
      <c r="E119">
        <f t="shared" si="33"/>
        <v>0.73928141758162536</v>
      </c>
      <c r="F119">
        <f t="shared" si="33"/>
        <v>0.65613746316916755</v>
      </c>
      <c r="G119">
        <f t="shared" si="33"/>
        <v>0.20054404590623287</v>
      </c>
      <c r="H119">
        <f t="shared" si="33"/>
        <v>0.43513970388892198</v>
      </c>
      <c r="I119">
        <f t="shared" si="33"/>
        <v>0.21203906211990414</v>
      </c>
      <c r="J119">
        <f t="shared" si="33"/>
        <v>0.5523094301136201</v>
      </c>
    </row>
    <row r="120" spans="3:10" x14ac:dyDescent="0.25">
      <c r="C120" s="18" t="s">
        <v>44</v>
      </c>
      <c r="D120">
        <f t="shared" ref="D120:J120" si="34">(D75-D$83)/D$85</f>
        <v>0.87147268191456939</v>
      </c>
      <c r="E120">
        <f t="shared" si="34"/>
        <v>0.74389447836928024</v>
      </c>
      <c r="F120">
        <f t="shared" si="34"/>
        <v>0.38280203577994598</v>
      </c>
      <c r="G120">
        <f t="shared" si="34"/>
        <v>0.67099903942550088</v>
      </c>
      <c r="H120">
        <f t="shared" si="34"/>
        <v>3.3077181033921835E-2</v>
      </c>
      <c r="I120">
        <f t="shared" si="34"/>
        <v>0.46308593462718217</v>
      </c>
      <c r="J120">
        <f t="shared" si="34"/>
        <v>6.068098236825809E-3</v>
      </c>
    </row>
    <row r="121" spans="3:10" x14ac:dyDescent="0.25">
      <c r="C121" s="16" t="s">
        <v>45</v>
      </c>
      <c r="D121">
        <f t="shared" ref="D121:J121" si="35">(D76-D$83)/D$85</f>
        <v>0.31486752679234653</v>
      </c>
      <c r="E121">
        <f t="shared" si="35"/>
        <v>0.53085304621410223</v>
      </c>
      <c r="F121">
        <f t="shared" si="35"/>
        <v>0.74116633223054651</v>
      </c>
      <c r="G121">
        <f t="shared" si="35"/>
        <v>0.505524352031678</v>
      </c>
      <c r="H121">
        <f t="shared" si="35"/>
        <v>0.81317564294473721</v>
      </c>
      <c r="I121">
        <f t="shared" si="35"/>
        <v>0.50084349468162748</v>
      </c>
      <c r="J121">
        <f t="shared" si="35"/>
        <v>0.80031636877557732</v>
      </c>
    </row>
    <row r="122" spans="3:10" x14ac:dyDescent="0.25">
      <c r="C122" s="18" t="s">
        <v>46</v>
      </c>
      <c r="D122">
        <f t="shared" ref="D122:J122" si="36">(D77-D$83)/D$85</f>
        <v>0.58195162561216462</v>
      </c>
      <c r="E122">
        <f t="shared" si="36"/>
        <v>0.27272278749558815</v>
      </c>
      <c r="F122">
        <f t="shared" si="36"/>
        <v>0.77437697158566765</v>
      </c>
      <c r="G122">
        <f t="shared" si="36"/>
        <v>0.54329506415714834</v>
      </c>
      <c r="H122">
        <f t="shared" si="36"/>
        <v>0.60867128765925016</v>
      </c>
      <c r="I122">
        <f t="shared" si="36"/>
        <v>0.67513065398841166</v>
      </c>
      <c r="J122">
        <f t="shared" si="36"/>
        <v>0.49889840791795353</v>
      </c>
    </row>
    <row r="123" spans="3:10" x14ac:dyDescent="0.25">
      <c r="C123" s="16" t="s">
        <v>47</v>
      </c>
      <c r="D123">
        <f t="shared" ref="D123:J123" si="37">(D78-D$83)/D$85</f>
        <v>1</v>
      </c>
      <c r="E123">
        <f t="shared" si="37"/>
        <v>0.80552656447468807</v>
      </c>
      <c r="F123">
        <f t="shared" si="37"/>
        <v>0.64279405631752728</v>
      </c>
      <c r="G123">
        <f t="shared" si="37"/>
        <v>0.32818090679910572</v>
      </c>
      <c r="H123">
        <f t="shared" si="37"/>
        <v>0.13663528580299941</v>
      </c>
      <c r="I123">
        <f t="shared" si="37"/>
        <v>0.24139675025429297</v>
      </c>
      <c r="J123">
        <f t="shared" si="37"/>
        <v>0.22622343277528134</v>
      </c>
    </row>
    <row r="124" spans="3:10" x14ac:dyDescent="0.25">
      <c r="C124" s="18" t="s">
        <v>48</v>
      </c>
      <c r="D124">
        <f t="shared" ref="D124:J124" si="38">(D79-D$83)/D$85</f>
        <v>0.11381219077388946</v>
      </c>
      <c r="E124">
        <f t="shared" si="38"/>
        <v>0.32792960670383431</v>
      </c>
      <c r="F124">
        <f t="shared" si="38"/>
        <v>0.54530729409376166</v>
      </c>
      <c r="G124">
        <f t="shared" si="38"/>
        <v>0.52877528848694832</v>
      </c>
      <c r="H124">
        <f t="shared" si="38"/>
        <v>0.82570018263013112</v>
      </c>
      <c r="I124">
        <f t="shared" si="38"/>
        <v>0.63438041327279338</v>
      </c>
      <c r="J124">
        <f t="shared" si="38"/>
        <v>0.74580051958705251</v>
      </c>
    </row>
    <row r="125" spans="3:10" x14ac:dyDescent="0.25">
      <c r="C125" s="16" t="s">
        <v>49</v>
      </c>
      <c r="D125">
        <f t="shared" ref="D125:J125" si="39">(D80-D$83)/D$85</f>
        <v>0.4890030770987126</v>
      </c>
      <c r="E125">
        <f t="shared" si="39"/>
        <v>0.21144555221999994</v>
      </c>
      <c r="F125">
        <f t="shared" si="39"/>
        <v>0.93923372884505418</v>
      </c>
      <c r="G125">
        <f t="shared" si="39"/>
        <v>0.71105164031728307</v>
      </c>
      <c r="H125">
        <f t="shared" si="39"/>
        <v>0.82586191952368482</v>
      </c>
      <c r="I125">
        <f t="shared" si="39"/>
        <v>0.80216740229661365</v>
      </c>
      <c r="J125">
        <f t="shared" si="39"/>
        <v>0.6610631014134194</v>
      </c>
    </row>
    <row r="126" spans="3:10" x14ac:dyDescent="0.25">
      <c r="C126" s="18" t="s">
        <v>51</v>
      </c>
      <c r="D126">
        <f t="shared" ref="D126:J126" si="40">(D81-D$83)/D$85</f>
        <v>0.22336927677445911</v>
      </c>
      <c r="E126">
        <f t="shared" si="40"/>
        <v>0.65492369758359881</v>
      </c>
      <c r="F126">
        <f t="shared" si="40"/>
        <v>0.57466588306654576</v>
      </c>
      <c r="G126">
        <f t="shared" si="40"/>
        <v>0.5089199199661073</v>
      </c>
      <c r="H126">
        <f t="shared" si="40"/>
        <v>0.75483775373389306</v>
      </c>
      <c r="I126">
        <f t="shared" si="40"/>
        <v>0.42869782750618624</v>
      </c>
      <c r="J126">
        <f t="shared" si="40"/>
        <v>0.77599968779260142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FB41-3E67-41D6-A161-0A4036BB130C}">
  <sheetPr codeName="Sheet8"/>
  <dimension ref="A1:K126"/>
  <sheetViews>
    <sheetView tabSelected="1" topLeftCell="A25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1.4371843339699999E-4</v>
      </c>
      <c r="E2">
        <v>3.7859999999999999E-3</v>
      </c>
      <c r="F2">
        <v>0.32450798377121837</v>
      </c>
      <c r="G2">
        <v>1.5772999999999999E-2</v>
      </c>
      <c r="H2">
        <v>0.32436426533782137</v>
      </c>
      <c r="I2">
        <v>1.1986999999999999E-2</v>
      </c>
      <c r="J2">
        <v>0.31237726533782134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2.8105884390163101E-2</v>
      </c>
      <c r="E3">
        <v>4.3747000000000001E-2</v>
      </c>
      <c r="F3">
        <v>0.26812964702375008</v>
      </c>
      <c r="G3">
        <v>3.9851999999999999E-2</v>
      </c>
      <c r="H3">
        <v>0.24002376263358699</v>
      </c>
      <c r="I3">
        <v>-3.8950000000000026E-3</v>
      </c>
      <c r="J3">
        <v>0.243918762633587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2.2189823387042001E-3</v>
      </c>
      <c r="E4">
        <v>9.6906000000000006E-2</v>
      </c>
      <c r="F4">
        <v>0.28804043874000829</v>
      </c>
      <c r="G4">
        <v>1.2330000000000001E-2</v>
      </c>
      <c r="H4">
        <v>0.28582145640130407</v>
      </c>
      <c r="I4">
        <v>-8.4576000000000012E-2</v>
      </c>
      <c r="J4">
        <v>0.37039745640130406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0.36775909956663699</v>
      </c>
      <c r="E5">
        <v>5.4903E-2</v>
      </c>
      <c r="F5">
        <v>0.49729385090190814</v>
      </c>
      <c r="G5">
        <v>-0.12700900000000001</v>
      </c>
      <c r="H5">
        <v>0.12953475133527115</v>
      </c>
      <c r="I5">
        <v>-0.18191200000000002</v>
      </c>
      <c r="J5">
        <v>0.31144675133527117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0.23263603922847351</v>
      </c>
      <c r="E6">
        <v>4.6280000000000002E-2</v>
      </c>
      <c r="F6">
        <v>0.50119598763543038</v>
      </c>
      <c r="G6">
        <v>-5.0600000000000005E-4</v>
      </c>
      <c r="H6">
        <v>0.26855994840695685</v>
      </c>
      <c r="I6">
        <v>-4.6786000000000001E-2</v>
      </c>
      <c r="J6">
        <v>0.31534594840695684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0.10677624509359369</v>
      </c>
      <c r="E7">
        <v>0.175566</v>
      </c>
      <c r="F7">
        <v>0.42113865825339314</v>
      </c>
      <c r="G7">
        <v>3.6249999999999998E-2</v>
      </c>
      <c r="H7">
        <v>0.31436241315979946</v>
      </c>
      <c r="I7">
        <v>-0.139316</v>
      </c>
      <c r="J7">
        <v>0.45367841315979945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0.21640169594583031</v>
      </c>
      <c r="E8">
        <v>0.13925399999999999</v>
      </c>
      <c r="F8">
        <v>0.48057626358497008</v>
      </c>
      <c r="G8">
        <v>0.217226</v>
      </c>
      <c r="H8">
        <v>0.26417456763913977</v>
      </c>
      <c r="I8">
        <v>7.7972000000000014E-2</v>
      </c>
      <c r="J8">
        <v>0.18620256763913975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0.1208314023787835</v>
      </c>
      <c r="E9">
        <v>0.19956699999999999</v>
      </c>
      <c r="F9">
        <v>0.39799350527216693</v>
      </c>
      <c r="G9">
        <v>-0.25957200000000002</v>
      </c>
      <c r="H9">
        <v>0.27716210289338344</v>
      </c>
      <c r="I9">
        <v>-0.45913900000000002</v>
      </c>
      <c r="J9">
        <v>0.73630110289338346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4.67959965503797E-2</v>
      </c>
      <c r="E10">
        <v>3.1259000000000002E-2</v>
      </c>
      <c r="F10">
        <v>0.2869944397266615</v>
      </c>
      <c r="G10">
        <v>7.2361999999999996E-2</v>
      </c>
      <c r="H10">
        <v>0.24019844317628181</v>
      </c>
      <c r="I10">
        <v>4.1102999999999994E-2</v>
      </c>
      <c r="J10">
        <v>0.19909544317628181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0.75459679537990321</v>
      </c>
      <c r="E11">
        <v>0.175673</v>
      </c>
      <c r="F11">
        <v>1.1091541545783314</v>
      </c>
      <c r="G11">
        <v>0.165189</v>
      </c>
      <c r="H11">
        <v>0.35455735919842823</v>
      </c>
      <c r="I11">
        <v>-1.0483999999999993E-2</v>
      </c>
      <c r="J11">
        <v>0.36504135919842823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0.61195199829791402</v>
      </c>
      <c r="E12">
        <v>-1.5774E-2</v>
      </c>
      <c r="F12">
        <v>1.3593796489937289</v>
      </c>
      <c r="G12">
        <v>0.135711</v>
      </c>
      <c r="H12">
        <v>0.74742765069581485</v>
      </c>
      <c r="I12">
        <v>0.15148500000000001</v>
      </c>
      <c r="J12">
        <v>0.59594265069581487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0.13900308202897449</v>
      </c>
      <c r="E13">
        <v>-2.6273999999999999E-2</v>
      </c>
      <c r="F13">
        <v>0.25509876756106825</v>
      </c>
      <c r="G13">
        <v>-0.16467399999999999</v>
      </c>
      <c r="H13">
        <v>0.11609568553209376</v>
      </c>
      <c r="I13">
        <v>-0.1384</v>
      </c>
      <c r="J13">
        <v>0.25449568553209378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0.1846366556716881</v>
      </c>
      <c r="E14">
        <v>8.8932999999999998E-2</v>
      </c>
      <c r="F14">
        <v>0.4574123200066898</v>
      </c>
      <c r="G14">
        <v>-5.9866999999999997E-2</v>
      </c>
      <c r="H14">
        <v>0.27277566433500167</v>
      </c>
      <c r="I14">
        <v>-0.14879999999999999</v>
      </c>
      <c r="J14">
        <v>0.42157566433500165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0.96239139099622917</v>
      </c>
      <c r="E15">
        <v>0.16705999999999999</v>
      </c>
      <c r="F15">
        <v>1.4643015263647072</v>
      </c>
      <c r="G15">
        <v>6.4032000000000006E-2</v>
      </c>
      <c r="H15">
        <v>0.50191013536847806</v>
      </c>
      <c r="I15">
        <v>-0.10302799999999998</v>
      </c>
      <c r="J15">
        <v>0.60493813536847807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0.26469672648747172</v>
      </c>
      <c r="E16">
        <v>2.3885E-2</v>
      </c>
      <c r="F16">
        <v>0.34591068839065081</v>
      </c>
      <c r="G16">
        <v>1.4027E-2</v>
      </c>
      <c r="H16">
        <v>8.1213961903179088E-2</v>
      </c>
      <c r="I16">
        <v>-9.8580000000000004E-3</v>
      </c>
      <c r="J16">
        <v>9.1071961903179094E-2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0.26551688994410449</v>
      </c>
      <c r="E17">
        <v>-4.7580000000000001E-3</v>
      </c>
      <c r="F17">
        <v>0.82564230521341808</v>
      </c>
      <c r="G17">
        <v>2.1163999999999999E-2</v>
      </c>
      <c r="H17">
        <v>0.56012541526931359</v>
      </c>
      <c r="I17">
        <v>2.5922000000000001E-2</v>
      </c>
      <c r="J17">
        <v>0.53420341526931359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0.17744456153012891</v>
      </c>
      <c r="E18">
        <v>3.1260000000000003E-2</v>
      </c>
      <c r="F18">
        <v>0.46983222988658713</v>
      </c>
      <c r="G18">
        <v>-2.2945E-2</v>
      </c>
      <c r="H18">
        <v>0.29238766835645824</v>
      </c>
      <c r="I18">
        <v>-5.4205000000000003E-2</v>
      </c>
      <c r="J18">
        <v>0.34659266835645824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1.860880197009916</v>
      </c>
      <c r="E19">
        <v>0.313056</v>
      </c>
      <c r="F19">
        <v>1.5385467304539959</v>
      </c>
      <c r="G19">
        <v>-0.25945200000000002</v>
      </c>
      <c r="H19">
        <v>-0.3223334665559201</v>
      </c>
      <c r="I19">
        <v>-0.57250800000000002</v>
      </c>
      <c r="J19">
        <v>0.25017453344407992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0.40744506961852839</v>
      </c>
      <c r="E20">
        <v>9.4149999999999998E-2</v>
      </c>
      <c r="F20">
        <v>1.2041620205108341</v>
      </c>
      <c r="G20">
        <v>7.3126999999999998E-2</v>
      </c>
      <c r="H20">
        <v>0.79671695089230576</v>
      </c>
      <c r="I20">
        <v>-2.1023E-2</v>
      </c>
      <c r="J20">
        <v>0.81773995089230578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7.7357265435432795E-2</v>
      </c>
      <c r="E21">
        <v>1.6372000000000001E-2</v>
      </c>
      <c r="F21">
        <v>0.33448414778648927</v>
      </c>
      <c r="G21">
        <v>0.111161</v>
      </c>
      <c r="H21">
        <v>0.25712688235105646</v>
      </c>
      <c r="I21">
        <v>9.4788999999999998E-2</v>
      </c>
      <c r="J21">
        <v>0.16233788235105645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1.6396962160768449</v>
      </c>
      <c r="E22">
        <v>0.33707300000000001</v>
      </c>
      <c r="F22">
        <v>1.2419071429321844</v>
      </c>
      <c r="G22">
        <v>3.6685000000000002E-2</v>
      </c>
      <c r="H22">
        <v>-0.3977890731446605</v>
      </c>
      <c r="I22">
        <v>-0.30038799999999999</v>
      </c>
      <c r="J22">
        <v>-9.740107314466051E-2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0.89075038199061762</v>
      </c>
      <c r="E23">
        <v>0.2712</v>
      </c>
      <c r="F23">
        <v>1.2401095220099663</v>
      </c>
      <c r="G23">
        <v>9.7201999999999997E-2</v>
      </c>
      <c r="H23">
        <v>0.34935914001934865</v>
      </c>
      <c r="I23">
        <v>-0.17399799999999999</v>
      </c>
      <c r="J23">
        <v>0.52335714001934863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0.22464582375807099</v>
      </c>
      <c r="E24">
        <v>3.2065000000000003E-2</v>
      </c>
      <c r="F24">
        <v>0.49620553725146432</v>
      </c>
      <c r="G24">
        <v>3.5300000000000002E-3</v>
      </c>
      <c r="H24">
        <v>0.27155971349339336</v>
      </c>
      <c r="I24">
        <v>-2.8535000000000005E-2</v>
      </c>
      <c r="J24">
        <v>0.30009471349339334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1.367119682344252</v>
      </c>
      <c r="E25">
        <v>0.24563599999999999</v>
      </c>
      <c r="F25">
        <v>1.1608103832096532</v>
      </c>
      <c r="G25">
        <v>7.9916000000000001E-2</v>
      </c>
      <c r="H25">
        <v>-0.20630929913459872</v>
      </c>
      <c r="I25">
        <v>-0.16571999999999998</v>
      </c>
      <c r="J25">
        <v>-4.0589299134598744E-2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0.2577311929303992</v>
      </c>
      <c r="E26">
        <v>8.1313999999999997E-2</v>
      </c>
      <c r="F26">
        <v>0.44353354076976353</v>
      </c>
      <c r="G26">
        <v>0.14954899999999999</v>
      </c>
      <c r="H26">
        <v>0.18580234783936433</v>
      </c>
      <c r="I26">
        <v>6.823499999999999E-2</v>
      </c>
      <c r="J26">
        <v>0.11756734783936434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0.81584363756609823</v>
      </c>
      <c r="E27">
        <v>-8.2865999999999995E-2</v>
      </c>
      <c r="F27">
        <v>1.1278149416025469</v>
      </c>
      <c r="G27">
        <v>4.7937E-2</v>
      </c>
      <c r="H27">
        <v>0.31197130403644868</v>
      </c>
      <c r="I27">
        <v>0.130803</v>
      </c>
      <c r="J27">
        <v>0.18116830403644868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0.62394192550894889</v>
      </c>
      <c r="E28">
        <v>-0.168438</v>
      </c>
      <c r="F28">
        <v>1.7829474391882236</v>
      </c>
      <c r="G28">
        <v>0.142877</v>
      </c>
      <c r="H28">
        <v>1.1590055136792747</v>
      </c>
      <c r="I28">
        <v>0.31131500000000001</v>
      </c>
      <c r="J28">
        <v>0.84769051367927473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8.5028771907974907E-2</v>
      </c>
      <c r="E29">
        <v>6.3566999999999999E-2</v>
      </c>
      <c r="F29">
        <v>0.49361778334365813</v>
      </c>
      <c r="G29">
        <v>3.7657999999999997E-2</v>
      </c>
      <c r="H29">
        <v>0.40858901143568321</v>
      </c>
      <c r="I29">
        <v>-2.5909000000000001E-2</v>
      </c>
      <c r="J29">
        <v>0.43449801143568323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2</v>
      </c>
      <c r="E30">
        <v>0.81220199999999998</v>
      </c>
      <c r="F30">
        <v>1.9194523625343287</v>
      </c>
      <c r="G30">
        <v>0.70438599999999996</v>
      </c>
      <c r="H30">
        <v>-8.0547637465671285E-2</v>
      </c>
      <c r="I30">
        <v>-0.10781600000000002</v>
      </c>
      <c r="J30">
        <v>2.7268362534328738E-2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0.66142878710742847</v>
      </c>
      <c r="E31">
        <v>2.8622000000000002E-2</v>
      </c>
      <c r="F31">
        <v>1.1944123480963418</v>
      </c>
      <c r="G31">
        <v>5.9489E-2</v>
      </c>
      <c r="H31">
        <v>0.53298356098891331</v>
      </c>
      <c r="I31">
        <v>3.0866999999999999E-2</v>
      </c>
      <c r="J31">
        <v>0.50211656098891333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1.4894992198509434</v>
      </c>
      <c r="E32">
        <v>0.35854399999999997</v>
      </c>
      <c r="F32">
        <v>1.1390079868624887</v>
      </c>
      <c r="G32">
        <v>0.14568600000000001</v>
      </c>
      <c r="H32">
        <v>-0.35049123298845464</v>
      </c>
      <c r="I32">
        <v>-0.21285799999999996</v>
      </c>
      <c r="J32">
        <v>-0.13763323298845467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1.1445577136799463</v>
      </c>
      <c r="E33">
        <v>0.22115000000000001</v>
      </c>
      <c r="F33">
        <v>1.0446818651424246</v>
      </c>
      <c r="G33">
        <v>-0.16395299999999999</v>
      </c>
      <c r="H33">
        <v>-9.9875848537521739E-2</v>
      </c>
      <c r="I33">
        <v>-0.38510299999999997</v>
      </c>
      <c r="J33">
        <v>0.28522715146247823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1.4693889408255958</v>
      </c>
      <c r="E34">
        <v>0.223581</v>
      </c>
      <c r="F34">
        <v>1.0749334665841472</v>
      </c>
      <c r="G34">
        <v>6.0359000000000003E-2</v>
      </c>
      <c r="H34">
        <v>-0.39445547424144856</v>
      </c>
      <c r="I34">
        <v>-0.16322200000000001</v>
      </c>
      <c r="J34">
        <v>-0.23123347424144855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0.21286551900145059</v>
      </c>
      <c r="E35">
        <v>0.11131199999999999</v>
      </c>
      <c r="F35">
        <v>0.53540403322434793</v>
      </c>
      <c r="G35">
        <v>-1.8539E-2</v>
      </c>
      <c r="H35">
        <v>0.32253851422289737</v>
      </c>
      <c r="I35">
        <v>-0.12985099999999999</v>
      </c>
      <c r="J35">
        <v>0.45238951422289736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0.37166217412912778</v>
      </c>
      <c r="E36">
        <v>-2.4718E-2</v>
      </c>
      <c r="F36">
        <v>0.9746792536256893</v>
      </c>
      <c r="G36">
        <v>-5.2999999999999998E-4</v>
      </c>
      <c r="H36">
        <v>0.60301707949656147</v>
      </c>
      <c r="I36">
        <v>2.4188000000000001E-2</v>
      </c>
      <c r="J36">
        <v>0.57882907949656148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1.7784540865044127</v>
      </c>
      <c r="E37">
        <v>0.25606000000000001</v>
      </c>
      <c r="F37">
        <v>1.178089724594876</v>
      </c>
      <c r="G37">
        <v>-0.10309599999999999</v>
      </c>
      <c r="H37">
        <v>-0.60036436190953668</v>
      </c>
      <c r="I37">
        <v>-0.35915600000000003</v>
      </c>
      <c r="J37">
        <v>-0.24120836190953665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0.25104763878044178</v>
      </c>
      <c r="E38">
        <v>4.3750000000000004E-3</v>
      </c>
      <c r="F38">
        <v>0.78296632254265708</v>
      </c>
      <c r="G38">
        <v>-7.4530000000000004E-3</v>
      </c>
      <c r="H38">
        <v>0.53191868376221529</v>
      </c>
      <c r="I38">
        <v>-1.1828000000000002E-2</v>
      </c>
      <c r="J38">
        <v>0.54374668376221524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0.71105326336847419</v>
      </c>
      <c r="E39">
        <v>-5.7009999999999998E-2</v>
      </c>
      <c r="F39">
        <v>1.163718041249636</v>
      </c>
      <c r="G39">
        <v>7.9455999999999999E-2</v>
      </c>
      <c r="H39">
        <v>0.45266477788116177</v>
      </c>
      <c r="I39">
        <v>0.136466</v>
      </c>
      <c r="J39">
        <v>0.3161987778811618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2</v>
      </c>
      <c r="E40">
        <v>1.0811409999999999</v>
      </c>
      <c r="F40">
        <v>1.9063539524476403</v>
      </c>
      <c r="G40">
        <v>0.99823200000000001</v>
      </c>
      <c r="H40">
        <v>-9.3646047552359724E-2</v>
      </c>
      <c r="I40">
        <v>-8.2908999999999899E-2</v>
      </c>
      <c r="J40">
        <v>-1.0737047552359824E-2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0.70354940006975752</v>
      </c>
      <c r="E41">
        <v>0.17669499999999999</v>
      </c>
      <c r="F41">
        <v>1.3322671713364118</v>
      </c>
      <c r="G41">
        <v>-1.6920000000000001E-2</v>
      </c>
      <c r="H41">
        <v>0.62871777126665429</v>
      </c>
      <c r="I41">
        <v>-0.19361499999999998</v>
      </c>
      <c r="J41">
        <v>0.82233277126665427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1.4371843339699999E-4</v>
      </c>
      <c r="E44" s="8">
        <v>3.7859999999999999E-3</v>
      </c>
      <c r="F44" s="8">
        <v>0.32450798377121837</v>
      </c>
      <c r="G44" s="8">
        <v>1.5772999999999999E-2</v>
      </c>
      <c r="H44" s="8">
        <v>0.32436426533782137</v>
      </c>
      <c r="I44" s="8">
        <v>1.1986999999999999E-2</v>
      </c>
      <c r="J44" s="8">
        <v>0.31237726533782134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2.8105884390163101E-2</v>
      </c>
      <c r="E45" s="10">
        <v>4.3747000000000001E-2</v>
      </c>
      <c r="F45" s="10">
        <v>0.26812964702375008</v>
      </c>
      <c r="G45" s="10">
        <v>3.9851999999999999E-2</v>
      </c>
      <c r="H45" s="10">
        <v>0.24002376263358699</v>
      </c>
      <c r="I45" s="10">
        <v>-3.8950000000000026E-3</v>
      </c>
      <c r="J45" s="10">
        <v>0.243918762633587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2.2189823387042001E-3</v>
      </c>
      <c r="E46" s="8">
        <v>9.6906000000000006E-2</v>
      </c>
      <c r="F46" s="8">
        <v>0.28804043874000829</v>
      </c>
      <c r="G46" s="8">
        <v>1.2330000000000001E-2</v>
      </c>
      <c r="H46" s="8">
        <v>0.28582145640130407</v>
      </c>
      <c r="I46" s="8">
        <v>-8.4576000000000012E-2</v>
      </c>
      <c r="J46" s="8">
        <v>0.37039745640130406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0.36775909956663699</v>
      </c>
      <c r="E47" s="10">
        <v>5.4903E-2</v>
      </c>
      <c r="F47" s="10">
        <v>0.49729385090190814</v>
      </c>
      <c r="G47" s="10">
        <v>-0.12700900000000001</v>
      </c>
      <c r="H47" s="10">
        <v>0.12953475133527115</v>
      </c>
      <c r="I47" s="10">
        <v>-0.18191200000000002</v>
      </c>
      <c r="J47" s="10">
        <v>0.31144675133527117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0.23263603922847351</v>
      </c>
      <c r="E48" s="8">
        <v>4.6280000000000002E-2</v>
      </c>
      <c r="F48" s="8">
        <v>0.50119598763543038</v>
      </c>
      <c r="G48" s="8">
        <v>-5.0600000000000005E-4</v>
      </c>
      <c r="H48" s="8">
        <v>0.26855994840695685</v>
      </c>
      <c r="I48" s="8">
        <v>-4.6786000000000001E-2</v>
      </c>
      <c r="J48" s="8">
        <v>0.31534594840695684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0.10677624509359369</v>
      </c>
      <c r="E49" s="10">
        <v>0.175566</v>
      </c>
      <c r="F49" s="10">
        <v>0.42113865825339314</v>
      </c>
      <c r="G49" s="10">
        <v>3.6249999999999998E-2</v>
      </c>
      <c r="H49" s="10">
        <v>0.31436241315979946</v>
      </c>
      <c r="I49" s="10">
        <v>-0.139316</v>
      </c>
      <c r="J49" s="10">
        <v>0.45367841315979945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0.21640169594583031</v>
      </c>
      <c r="E50" s="8">
        <v>0.13925399999999999</v>
      </c>
      <c r="F50" s="8">
        <v>0.48057626358497008</v>
      </c>
      <c r="G50" s="8">
        <v>0.217226</v>
      </c>
      <c r="H50" s="8">
        <v>0.26417456763913977</v>
      </c>
      <c r="I50" s="8">
        <v>7.7972000000000014E-2</v>
      </c>
      <c r="J50" s="8">
        <v>0.18620256763913975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0.1208314023787835</v>
      </c>
      <c r="E51" s="10">
        <v>0.19956699999999999</v>
      </c>
      <c r="F51" s="10">
        <v>0.39799350527216693</v>
      </c>
      <c r="G51" s="10">
        <v>-0.25957200000000002</v>
      </c>
      <c r="H51" s="10">
        <v>0.27716210289338344</v>
      </c>
      <c r="I51" s="10">
        <v>-0.45913900000000002</v>
      </c>
      <c r="J51" s="10">
        <v>0.73630110289338346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4.67959965503797E-2</v>
      </c>
      <c r="E52" s="8">
        <v>3.1259000000000002E-2</v>
      </c>
      <c r="F52" s="8">
        <v>0.2869944397266615</v>
      </c>
      <c r="G52" s="8">
        <v>7.2361999999999996E-2</v>
      </c>
      <c r="H52" s="8">
        <v>0.24019844317628181</v>
      </c>
      <c r="I52" s="8">
        <v>4.1102999999999994E-2</v>
      </c>
      <c r="J52" s="8">
        <v>0.19909544317628181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0.75459679537990321</v>
      </c>
      <c r="E53" s="10">
        <v>0.175673</v>
      </c>
      <c r="F53" s="10">
        <v>1.1091541545783314</v>
      </c>
      <c r="G53" s="10">
        <v>0.165189</v>
      </c>
      <c r="H53" s="10">
        <v>0.35455735919842823</v>
      </c>
      <c r="I53" s="10">
        <v>-1.0483999999999993E-2</v>
      </c>
      <c r="J53" s="10">
        <v>0.36504135919842823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0.61195199829791402</v>
      </c>
      <c r="E54" s="8">
        <v>-1.5774E-2</v>
      </c>
      <c r="F54" s="8">
        <v>1.3593796489937289</v>
      </c>
      <c r="G54" s="8">
        <v>0.135711</v>
      </c>
      <c r="H54" s="8">
        <v>0.74742765069581485</v>
      </c>
      <c r="I54" s="8">
        <v>0.15148500000000001</v>
      </c>
      <c r="J54" s="8">
        <v>0.59594265069581487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0.13900308202897449</v>
      </c>
      <c r="E55" s="10">
        <v>-2.6273999999999999E-2</v>
      </c>
      <c r="F55" s="10">
        <v>0.25509876756106825</v>
      </c>
      <c r="G55" s="10">
        <v>-0.16467399999999999</v>
      </c>
      <c r="H55" s="10">
        <v>0.11609568553209376</v>
      </c>
      <c r="I55" s="10">
        <v>-0.1384</v>
      </c>
      <c r="J55" s="10">
        <v>0.25449568553209378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0.1846366556716881</v>
      </c>
      <c r="E56" s="8">
        <v>8.8932999999999998E-2</v>
      </c>
      <c r="F56" s="8">
        <v>0.4574123200066898</v>
      </c>
      <c r="G56" s="8">
        <v>-5.9866999999999997E-2</v>
      </c>
      <c r="H56" s="8">
        <v>0.27277566433500167</v>
      </c>
      <c r="I56" s="8">
        <v>-0.14879999999999999</v>
      </c>
      <c r="J56" s="8">
        <v>0.42157566433500165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0.96239139099622917</v>
      </c>
      <c r="E57" s="10">
        <v>0.16705999999999999</v>
      </c>
      <c r="F57" s="10">
        <v>1.4643015263647072</v>
      </c>
      <c r="G57" s="10">
        <v>6.4032000000000006E-2</v>
      </c>
      <c r="H57" s="10">
        <v>0.50191013536847806</v>
      </c>
      <c r="I57" s="10">
        <v>-0.10302799999999998</v>
      </c>
      <c r="J57" s="10">
        <v>0.60493813536847807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0.26469672648747172</v>
      </c>
      <c r="E58" s="8">
        <v>2.3885E-2</v>
      </c>
      <c r="F58" s="8">
        <v>0.34591068839065081</v>
      </c>
      <c r="G58" s="8">
        <v>1.4027E-2</v>
      </c>
      <c r="H58" s="8">
        <v>8.1213961903179088E-2</v>
      </c>
      <c r="I58" s="8">
        <v>-9.8580000000000004E-3</v>
      </c>
      <c r="J58" s="8">
        <v>9.1071961903179094E-2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0.26551688994410449</v>
      </c>
      <c r="E59" s="10">
        <v>-4.7580000000000001E-3</v>
      </c>
      <c r="F59" s="10">
        <v>0.82564230521341808</v>
      </c>
      <c r="G59" s="10">
        <v>2.1163999999999999E-2</v>
      </c>
      <c r="H59" s="10">
        <v>0.56012541526931359</v>
      </c>
      <c r="I59" s="10">
        <v>2.5922000000000001E-2</v>
      </c>
      <c r="J59" s="10">
        <v>0.53420341526931359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0.17744456153012891</v>
      </c>
      <c r="E60" s="8">
        <v>3.1260000000000003E-2</v>
      </c>
      <c r="F60" s="8">
        <v>0.46983222988658713</v>
      </c>
      <c r="G60" s="8">
        <v>-2.2945E-2</v>
      </c>
      <c r="H60" s="8">
        <v>0.29238766835645824</v>
      </c>
      <c r="I60" s="8">
        <v>-5.4205000000000003E-2</v>
      </c>
      <c r="J60" s="8">
        <v>0.34659266835645824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1.860880197009916</v>
      </c>
      <c r="E61" s="10">
        <v>0.313056</v>
      </c>
      <c r="F61" s="10">
        <v>1.5385467304539959</v>
      </c>
      <c r="G61" s="10">
        <v>-0.25945200000000002</v>
      </c>
      <c r="H61" s="10">
        <v>-0.3223334665559201</v>
      </c>
      <c r="I61" s="10">
        <v>-0.57250800000000002</v>
      </c>
      <c r="J61" s="10">
        <v>0.25017453344407992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0.40744506961852839</v>
      </c>
      <c r="E62" s="8">
        <v>9.4149999999999998E-2</v>
      </c>
      <c r="F62" s="8">
        <v>1.2041620205108341</v>
      </c>
      <c r="G62" s="8">
        <v>7.3126999999999998E-2</v>
      </c>
      <c r="H62" s="8">
        <v>0.79671695089230576</v>
      </c>
      <c r="I62" s="8">
        <v>-2.1023E-2</v>
      </c>
      <c r="J62" s="8">
        <v>0.81773995089230578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7.7357265435432795E-2</v>
      </c>
      <c r="E63" s="10">
        <v>1.6372000000000001E-2</v>
      </c>
      <c r="F63" s="10">
        <v>0.33448414778648927</v>
      </c>
      <c r="G63" s="10">
        <v>0.111161</v>
      </c>
      <c r="H63" s="10">
        <v>0.25712688235105646</v>
      </c>
      <c r="I63" s="10">
        <v>9.4788999999999998E-2</v>
      </c>
      <c r="J63" s="10">
        <v>0.16233788235105645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1.6396962160768449</v>
      </c>
      <c r="E64" s="8">
        <v>0.33707300000000001</v>
      </c>
      <c r="F64" s="8">
        <v>1.2419071429321844</v>
      </c>
      <c r="G64" s="8">
        <v>3.6685000000000002E-2</v>
      </c>
      <c r="H64" s="8">
        <v>-0.3977890731446605</v>
      </c>
      <c r="I64" s="8">
        <v>-0.30038799999999999</v>
      </c>
      <c r="J64" s="8">
        <v>-9.740107314466051E-2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0.89075038199061762</v>
      </c>
      <c r="E65" s="10">
        <v>0.2712</v>
      </c>
      <c r="F65" s="10">
        <v>1.2401095220099663</v>
      </c>
      <c r="G65" s="10">
        <v>9.7201999999999997E-2</v>
      </c>
      <c r="H65" s="10">
        <v>0.34935914001934865</v>
      </c>
      <c r="I65" s="10">
        <v>-0.17399799999999999</v>
      </c>
      <c r="J65" s="10">
        <v>0.52335714001934863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0.22464582375807099</v>
      </c>
      <c r="E66" s="8">
        <v>3.2065000000000003E-2</v>
      </c>
      <c r="F66" s="8">
        <v>0.49620553725146432</v>
      </c>
      <c r="G66" s="8">
        <v>3.5300000000000002E-3</v>
      </c>
      <c r="H66" s="8">
        <v>0.27155971349339336</v>
      </c>
      <c r="I66" s="8">
        <v>-2.8535000000000005E-2</v>
      </c>
      <c r="J66" s="8">
        <v>0.30009471349339334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1.367119682344252</v>
      </c>
      <c r="E67" s="10">
        <v>0.24563599999999999</v>
      </c>
      <c r="F67" s="10">
        <v>1.1608103832096532</v>
      </c>
      <c r="G67" s="10">
        <v>7.9916000000000001E-2</v>
      </c>
      <c r="H67" s="10">
        <v>-0.20630929913459872</v>
      </c>
      <c r="I67" s="10">
        <v>-0.16571999999999998</v>
      </c>
      <c r="J67" s="10">
        <v>-4.0589299134598744E-2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0.2577311929303992</v>
      </c>
      <c r="E68" s="8">
        <v>8.1313999999999997E-2</v>
      </c>
      <c r="F68" s="8">
        <v>0.44353354076976353</v>
      </c>
      <c r="G68" s="8">
        <v>0.14954899999999999</v>
      </c>
      <c r="H68" s="8">
        <v>0.18580234783936433</v>
      </c>
      <c r="I68" s="8">
        <v>6.823499999999999E-2</v>
      </c>
      <c r="J68" s="8">
        <v>0.11756734783936434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0.81584363756609823</v>
      </c>
      <c r="E69" s="10">
        <v>-8.2865999999999995E-2</v>
      </c>
      <c r="F69" s="10">
        <v>1.1278149416025469</v>
      </c>
      <c r="G69" s="10">
        <v>4.7937E-2</v>
      </c>
      <c r="H69" s="10">
        <v>0.31197130403644868</v>
      </c>
      <c r="I69" s="10">
        <v>0.130803</v>
      </c>
      <c r="J69" s="10">
        <v>0.18116830403644868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0.62394192550894889</v>
      </c>
      <c r="E70" s="8">
        <v>-0.168438</v>
      </c>
      <c r="F70" s="8">
        <v>1.7829474391882236</v>
      </c>
      <c r="G70" s="8">
        <v>0.142877</v>
      </c>
      <c r="H70" s="8">
        <v>1.1590055136792747</v>
      </c>
      <c r="I70" s="8">
        <v>0.31131500000000001</v>
      </c>
      <c r="J70" s="8">
        <v>0.84769051367927473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8.5028771907974907E-2</v>
      </c>
      <c r="E71" s="10">
        <v>6.3566999999999999E-2</v>
      </c>
      <c r="F71" s="10">
        <v>0.49361778334365813</v>
      </c>
      <c r="G71" s="10">
        <v>3.7657999999999997E-2</v>
      </c>
      <c r="H71" s="10">
        <v>0.40858901143568321</v>
      </c>
      <c r="I71" s="10">
        <v>-2.5909000000000001E-2</v>
      </c>
      <c r="J71" s="10">
        <v>0.43449801143568323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0.66142878710742847</v>
      </c>
      <c r="E72" s="8">
        <v>2.8622000000000002E-2</v>
      </c>
      <c r="F72" s="8">
        <v>1.1944123480963418</v>
      </c>
      <c r="G72" s="8">
        <v>5.9489E-2</v>
      </c>
      <c r="H72" s="8">
        <v>0.53298356098891331</v>
      </c>
      <c r="I72" s="8">
        <v>3.0866999999999999E-2</v>
      </c>
      <c r="J72" s="8">
        <v>0.50211656098891333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1.4894992198509434</v>
      </c>
      <c r="E73" s="10">
        <v>0.35854399999999997</v>
      </c>
      <c r="F73" s="10">
        <v>1.1390079868624887</v>
      </c>
      <c r="G73" s="10">
        <v>0.14568600000000001</v>
      </c>
      <c r="H73" s="10">
        <v>-0.35049123298845464</v>
      </c>
      <c r="I73" s="10">
        <v>-0.21285799999999996</v>
      </c>
      <c r="J73" s="10">
        <v>-0.13763323298845467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1.1445577136799463</v>
      </c>
      <c r="E74" s="8">
        <v>0.22115000000000001</v>
      </c>
      <c r="F74" s="8">
        <v>1.0446818651424246</v>
      </c>
      <c r="G74" s="8">
        <v>-0.16395299999999999</v>
      </c>
      <c r="H74" s="8">
        <v>-9.9875848537521739E-2</v>
      </c>
      <c r="I74" s="8">
        <v>-0.38510299999999997</v>
      </c>
      <c r="J74" s="8">
        <v>0.28522715146247823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1.4693889408255958</v>
      </c>
      <c r="E75" s="10">
        <v>0.223581</v>
      </c>
      <c r="F75" s="10">
        <v>1.0749334665841472</v>
      </c>
      <c r="G75" s="10">
        <v>6.0359000000000003E-2</v>
      </c>
      <c r="H75" s="10">
        <v>-0.39445547424144856</v>
      </c>
      <c r="I75" s="10">
        <v>-0.16322200000000001</v>
      </c>
      <c r="J75" s="10">
        <v>-0.23123347424144855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0.21286551900145059</v>
      </c>
      <c r="E76" s="8">
        <v>0.11131199999999999</v>
      </c>
      <c r="F76" s="8">
        <v>0.53540403322434793</v>
      </c>
      <c r="G76" s="8">
        <v>-1.8539E-2</v>
      </c>
      <c r="H76" s="8">
        <v>0.32253851422289737</v>
      </c>
      <c r="I76" s="8">
        <v>-0.12985099999999999</v>
      </c>
      <c r="J76" s="8">
        <v>0.45238951422289736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0.37166217412912778</v>
      </c>
      <c r="E77" s="10">
        <v>-2.4718E-2</v>
      </c>
      <c r="F77" s="10">
        <v>0.9746792536256893</v>
      </c>
      <c r="G77" s="10">
        <v>-5.2999999999999998E-4</v>
      </c>
      <c r="H77" s="10">
        <v>0.60301707949656147</v>
      </c>
      <c r="I77" s="10">
        <v>2.4188000000000001E-2</v>
      </c>
      <c r="J77" s="10">
        <v>0.57882907949656148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1.7784540865044127</v>
      </c>
      <c r="E78" s="8">
        <v>0.25606000000000001</v>
      </c>
      <c r="F78" s="8">
        <v>1.178089724594876</v>
      </c>
      <c r="G78" s="8">
        <v>-0.10309599999999999</v>
      </c>
      <c r="H78" s="8">
        <v>-0.60036436190953668</v>
      </c>
      <c r="I78" s="8">
        <v>-0.35915600000000003</v>
      </c>
      <c r="J78" s="8">
        <v>-0.24120836190953665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0.25104763878044178</v>
      </c>
      <c r="E79" s="10">
        <v>4.3750000000000004E-3</v>
      </c>
      <c r="F79" s="10">
        <v>0.78296632254265708</v>
      </c>
      <c r="G79" s="10">
        <v>-7.4530000000000004E-3</v>
      </c>
      <c r="H79" s="10">
        <v>0.53191868376221529</v>
      </c>
      <c r="I79" s="10">
        <v>-1.1828000000000002E-2</v>
      </c>
      <c r="J79" s="10">
        <v>0.54374668376221524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0.71105326336847419</v>
      </c>
      <c r="E80" s="8">
        <v>-5.7009999999999998E-2</v>
      </c>
      <c r="F80" s="8">
        <v>1.163718041249636</v>
      </c>
      <c r="G80" s="8">
        <v>7.9455999999999999E-2</v>
      </c>
      <c r="H80" s="8">
        <v>0.45266477788116177</v>
      </c>
      <c r="I80" s="8">
        <v>0.136466</v>
      </c>
      <c r="J80" s="8">
        <v>0.3161987778811618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0.70354940006975752</v>
      </c>
      <c r="E81" s="10">
        <v>0.17669499999999999</v>
      </c>
      <c r="F81" s="10">
        <v>1.3322671713364118</v>
      </c>
      <c r="G81" s="10">
        <v>-1.6920000000000001E-2</v>
      </c>
      <c r="H81" s="10">
        <v>0.62871777126665429</v>
      </c>
      <c r="I81" s="10">
        <v>-0.19361499999999998</v>
      </c>
      <c r="J81" s="10">
        <v>0.82233277126665427</v>
      </c>
      <c r="K81" s="11" t="b">
        <v>1</v>
      </c>
    </row>
    <row r="83" spans="1:11" x14ac:dyDescent="0.25">
      <c r="C83" t="s">
        <v>52</v>
      </c>
      <c r="D83">
        <f>MIN(D44:D81)</f>
        <v>1.4371843339699999E-4</v>
      </c>
      <c r="E83">
        <f t="shared" ref="E83:J83" si="0">MIN(E44:E81)</f>
        <v>-0.168438</v>
      </c>
      <c r="F83">
        <f t="shared" si="0"/>
        <v>0.25509876756106825</v>
      </c>
      <c r="G83">
        <f t="shared" si="0"/>
        <v>-0.25957200000000002</v>
      </c>
      <c r="H83">
        <f t="shared" si="0"/>
        <v>-0.60036436190953668</v>
      </c>
      <c r="I83">
        <f t="shared" si="0"/>
        <v>-0.57250800000000002</v>
      </c>
      <c r="J83">
        <f t="shared" si="0"/>
        <v>-0.24120836190953665</v>
      </c>
    </row>
    <row r="84" spans="1:11" x14ac:dyDescent="0.25">
      <c r="C84" t="s">
        <v>53</v>
      </c>
      <c r="D84">
        <f>MAX(D44:D81)</f>
        <v>1.860880197009916</v>
      </c>
      <c r="E84">
        <f t="shared" ref="E84:J84" si="1">MAX(E44:E81)</f>
        <v>0.35854399999999997</v>
      </c>
      <c r="F84">
        <f t="shared" si="1"/>
        <v>1.7829474391882236</v>
      </c>
      <c r="G84">
        <f t="shared" si="1"/>
        <v>0.217226</v>
      </c>
      <c r="H84">
        <f t="shared" si="1"/>
        <v>1.1590055136792747</v>
      </c>
      <c r="I84">
        <f t="shared" si="1"/>
        <v>0.31131500000000001</v>
      </c>
      <c r="J84">
        <f t="shared" si="1"/>
        <v>0.84769051367927473</v>
      </c>
    </row>
    <row r="85" spans="1:11" x14ac:dyDescent="0.25">
      <c r="C85" t="s">
        <v>54</v>
      </c>
      <c r="D85">
        <f>D84-D83</f>
        <v>1.860736478576519</v>
      </c>
      <c r="E85">
        <f t="shared" ref="E85:J85" si="2">E84-E83</f>
        <v>0.52698199999999995</v>
      </c>
      <c r="F85">
        <f t="shared" si="2"/>
        <v>1.5278486716271553</v>
      </c>
      <c r="G85">
        <f t="shared" si="2"/>
        <v>0.47679800000000006</v>
      </c>
      <c r="H85">
        <f t="shared" si="2"/>
        <v>1.7593698755888114</v>
      </c>
      <c r="I85">
        <f t="shared" si="2"/>
        <v>0.88382300000000003</v>
      </c>
      <c r="J85">
        <f t="shared" si="2"/>
        <v>1.0888988755888114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</v>
      </c>
      <c r="E89">
        <f t="shared" ref="E89:J89" si="3">(E44-E$83)/E$85</f>
        <v>0.32681192146980359</v>
      </c>
      <c r="F89">
        <f t="shared" si="3"/>
        <v>4.5429378903232252E-2</v>
      </c>
      <c r="G89">
        <f t="shared" si="3"/>
        <v>0.57748774113985368</v>
      </c>
      <c r="H89">
        <f t="shared" si="3"/>
        <v>0.52560217159446221</v>
      </c>
      <c r="I89">
        <f t="shared" si="3"/>
        <v>0.66132585370600216</v>
      </c>
      <c r="J89">
        <f t="shared" si="3"/>
        <v>0.5083903011177342</v>
      </c>
    </row>
    <row r="90" spans="1:11" x14ac:dyDescent="0.25">
      <c r="C90" s="18" t="s">
        <v>13</v>
      </c>
      <c r="D90">
        <f t="shared" ref="D90:J90" si="4">(D45-D$83)/D$85</f>
        <v>1.5027472336199601E-2</v>
      </c>
      <c r="E90">
        <f t="shared" si="4"/>
        <v>0.4026418359640368</v>
      </c>
      <c r="F90">
        <f t="shared" si="4"/>
        <v>8.5289071520440411E-3</v>
      </c>
      <c r="G90">
        <f t="shared" si="4"/>
        <v>0.62798921136414165</v>
      </c>
      <c r="H90">
        <f t="shared" si="4"/>
        <v>0.47766426844262611</v>
      </c>
      <c r="I90">
        <f t="shared" si="4"/>
        <v>0.64335619235978247</v>
      </c>
      <c r="J90">
        <f t="shared" si="4"/>
        <v>0.44552082421868233</v>
      </c>
    </row>
    <row r="91" spans="1:11" x14ac:dyDescent="0.25">
      <c r="C91" s="16" t="s">
        <v>14</v>
      </c>
      <c r="D91">
        <f t="shared" ref="D91:J91" si="5">(D46-D$83)/D$85</f>
        <v>1.1152916757427127E-3</v>
      </c>
      <c r="E91">
        <f t="shared" si="5"/>
        <v>0.503516249131849</v>
      </c>
      <c r="F91">
        <f t="shared" si="5"/>
        <v>2.1560820643223278E-2</v>
      </c>
      <c r="G91">
        <f t="shared" si="5"/>
        <v>0.57026665380307806</v>
      </c>
      <c r="H91">
        <f t="shared" si="5"/>
        <v>0.50369500501664521</v>
      </c>
      <c r="I91">
        <f t="shared" si="5"/>
        <v>0.5520698148837494</v>
      </c>
      <c r="J91">
        <f t="shared" si="5"/>
        <v>0.5616736613674258</v>
      </c>
    </row>
    <row r="92" spans="1:11" x14ac:dyDescent="0.25">
      <c r="C92" s="18" t="s">
        <v>15</v>
      </c>
      <c r="D92">
        <f t="shared" ref="D92:J92" si="6">(D47-D$83)/D$85</f>
        <v>0.1975644511545607</v>
      </c>
      <c r="E92">
        <f t="shared" si="6"/>
        <v>0.4238114394799064</v>
      </c>
      <c r="F92">
        <f t="shared" si="6"/>
        <v>0.15852033505576352</v>
      </c>
      <c r="G92">
        <f t="shared" si="6"/>
        <v>0.27802759239761909</v>
      </c>
      <c r="H92">
        <f t="shared" si="6"/>
        <v>0.41486393701070456</v>
      </c>
      <c r="I92">
        <f t="shared" si="6"/>
        <v>0.44193916655257898</v>
      </c>
      <c r="J92">
        <f t="shared" si="6"/>
        <v>0.50753575527935502</v>
      </c>
    </row>
    <row r="93" spans="1:11" x14ac:dyDescent="0.25">
      <c r="C93" s="16" t="s">
        <v>16</v>
      </c>
      <c r="D93">
        <f t="shared" ref="D93:J93" si="7">(D48-D$83)/D$85</f>
        <v>0.12494639809121995</v>
      </c>
      <c r="E93">
        <f t="shared" si="7"/>
        <v>0.40744845174977523</v>
      </c>
      <c r="F93">
        <f t="shared" si="7"/>
        <v>0.1610743424034719</v>
      </c>
      <c r="G93">
        <f t="shared" si="7"/>
        <v>0.54334539993875808</v>
      </c>
      <c r="H93">
        <f t="shared" si="7"/>
        <v>0.49388381736710657</v>
      </c>
      <c r="I93">
        <f t="shared" si="7"/>
        <v>0.59482724482164417</v>
      </c>
      <c r="J93">
        <f t="shared" si="7"/>
        <v>0.51111661770753714</v>
      </c>
    </row>
    <row r="94" spans="1:11" x14ac:dyDescent="0.25">
      <c r="C94" s="18" t="s">
        <v>17</v>
      </c>
      <c r="D94">
        <f t="shared" ref="D94:J94" si="8">(D49-D$83)/D$85</f>
        <v>5.7306624494066774E-2</v>
      </c>
      <c r="E94">
        <f t="shared" si="8"/>
        <v>0.65278130941853807</v>
      </c>
      <c r="F94">
        <f t="shared" si="8"/>
        <v>0.10867561282459524</v>
      </c>
      <c r="G94">
        <f t="shared" si="8"/>
        <v>0.62043464947420079</v>
      </c>
      <c r="H94">
        <f t="shared" si="8"/>
        <v>0.51991726569900654</v>
      </c>
      <c r="I94">
        <f t="shared" si="8"/>
        <v>0.49013433685251462</v>
      </c>
      <c r="J94">
        <f t="shared" si="8"/>
        <v>0.63815547122645611</v>
      </c>
    </row>
    <row r="95" spans="1:11" x14ac:dyDescent="0.25">
      <c r="C95" s="16" t="s">
        <v>18</v>
      </c>
      <c r="D95">
        <f t="shared" ref="D95:J95" si="9">(D50-D$83)/D$85</f>
        <v>0.11622171113551377</v>
      </c>
      <c r="E95">
        <f t="shared" si="9"/>
        <v>0.58387573010083837</v>
      </c>
      <c r="F95">
        <f t="shared" si="9"/>
        <v>0.14757842200678736</v>
      </c>
      <c r="G95">
        <f t="shared" si="9"/>
        <v>1</v>
      </c>
      <c r="H95">
        <f t="shared" si="9"/>
        <v>0.49139123134033413</v>
      </c>
      <c r="I95">
        <f t="shared" si="9"/>
        <v>0.73598446747821689</v>
      </c>
      <c r="J95">
        <f t="shared" si="9"/>
        <v>0.39251664147192561</v>
      </c>
    </row>
    <row r="96" spans="1:11" x14ac:dyDescent="0.25">
      <c r="C96" s="18" t="s">
        <v>19</v>
      </c>
      <c r="D96">
        <f t="shared" ref="D96:J96" si="10">(D51-D$83)/D$85</f>
        <v>6.4860169795625075E-2</v>
      </c>
      <c r="E96">
        <f t="shared" si="10"/>
        <v>0.69832555950677644</v>
      </c>
      <c r="F96">
        <f t="shared" si="10"/>
        <v>9.352676110188067E-2</v>
      </c>
      <c r="G96">
        <f t="shared" si="10"/>
        <v>0</v>
      </c>
      <c r="H96">
        <f t="shared" si="10"/>
        <v>0.49877315564996638</v>
      </c>
      <c r="I96">
        <f t="shared" si="10"/>
        <v>0.1282711583654193</v>
      </c>
      <c r="J96">
        <f t="shared" si="10"/>
        <v>0.89770454053811144</v>
      </c>
    </row>
    <row r="97" spans="3:10" x14ac:dyDescent="0.25">
      <c r="C97" s="16" t="s">
        <v>20</v>
      </c>
      <c r="D97">
        <f t="shared" ref="D97:J97" si="11">(D52-D$83)/D$85</f>
        <v>2.5071942563662821E-2</v>
      </c>
      <c r="E97">
        <f t="shared" si="11"/>
        <v>0.37894463188496008</v>
      </c>
      <c r="F97">
        <f t="shared" si="11"/>
        <v>2.0876198512267862E-2</v>
      </c>
      <c r="G97">
        <f t="shared" si="11"/>
        <v>0.69617322220311317</v>
      </c>
      <c r="H97">
        <f t="shared" si="11"/>
        <v>0.47776355429781692</v>
      </c>
      <c r="I97">
        <f t="shared" si="11"/>
        <v>0.69426910139247333</v>
      </c>
      <c r="J97">
        <f t="shared" si="11"/>
        <v>0.40435692878067164</v>
      </c>
    </row>
    <row r="98" spans="3:10" x14ac:dyDescent="0.25">
      <c r="C98" s="18" t="s">
        <v>21</v>
      </c>
      <c r="D98">
        <f t="shared" ref="D98:J98" si="12">(D53-D$83)/D$85</f>
        <v>0.40545938967331363</v>
      </c>
      <c r="E98">
        <f t="shared" si="12"/>
        <v>0.65298435240672359</v>
      </c>
      <c r="F98">
        <f t="shared" si="12"/>
        <v>0.55899213245229062</v>
      </c>
      <c r="G98">
        <f t="shared" si="12"/>
        <v>0.89086153884873676</v>
      </c>
      <c r="H98">
        <f t="shared" si="12"/>
        <v>0.54276348274314945</v>
      </c>
      <c r="I98">
        <f t="shared" si="12"/>
        <v>0.63590107974107946</v>
      </c>
      <c r="J98">
        <f t="shared" si="12"/>
        <v>0.55675484170202794</v>
      </c>
    </row>
    <row r="99" spans="3:10" x14ac:dyDescent="0.25">
      <c r="C99" s="16" t="s">
        <v>22</v>
      </c>
      <c r="D99">
        <f t="shared" ref="D99:J99" si="13">(D54-D$83)/D$85</f>
        <v>0.32879899271526947</v>
      </c>
      <c r="E99">
        <f t="shared" si="13"/>
        <v>0.28969490419027599</v>
      </c>
      <c r="F99">
        <f t="shared" si="13"/>
        <v>0.72276849267840382</v>
      </c>
      <c r="G99">
        <f t="shared" si="13"/>
        <v>0.82903661508647264</v>
      </c>
      <c r="H99">
        <f t="shared" si="13"/>
        <v>0.76606518692056358</v>
      </c>
      <c r="I99">
        <f t="shared" si="13"/>
        <v>0.8191606237900575</v>
      </c>
      <c r="J99">
        <f t="shared" si="13"/>
        <v>0.76880510336891505</v>
      </c>
    </row>
    <row r="100" spans="3:10" x14ac:dyDescent="0.25">
      <c r="C100" s="18" t="s">
        <v>23</v>
      </c>
      <c r="D100">
        <f t="shared" ref="D100:J100" si="14">(D55-D$83)/D$85</f>
        <v>7.46260231872308E-2</v>
      </c>
      <c r="E100">
        <f t="shared" si="14"/>
        <v>0.26977012497580566</v>
      </c>
      <c r="F100">
        <f t="shared" si="14"/>
        <v>0</v>
      </c>
      <c r="G100">
        <f t="shared" si="14"/>
        <v>0.19903187513370449</v>
      </c>
      <c r="H100">
        <f t="shared" si="14"/>
        <v>0.40722536936802534</v>
      </c>
      <c r="I100">
        <f t="shared" si="14"/>
        <v>0.49117074346334055</v>
      </c>
      <c r="J100">
        <f t="shared" si="14"/>
        <v>0.45523423575360322</v>
      </c>
    </row>
    <row r="101" spans="3:10" x14ac:dyDescent="0.25">
      <c r="C101" s="16" t="s">
        <v>24</v>
      </c>
      <c r="D101">
        <f t="shared" ref="D101:J101" si="15">(D56-D$83)/D$85</f>
        <v>9.9150491948988895E-2</v>
      </c>
      <c r="E101">
        <f t="shared" si="15"/>
        <v>0.48838670011499452</v>
      </c>
      <c r="F101">
        <f t="shared" si="15"/>
        <v>0.13241727155488381</v>
      </c>
      <c r="G101">
        <f t="shared" si="15"/>
        <v>0.41884613609956417</v>
      </c>
      <c r="H101">
        <f t="shared" si="15"/>
        <v>0.49627996839057109</v>
      </c>
      <c r="I101">
        <f t="shared" si="15"/>
        <v>0.47940368150636498</v>
      </c>
      <c r="J101">
        <f t="shared" si="15"/>
        <v>0.60867362535032865</v>
      </c>
    </row>
    <row r="102" spans="3:10" x14ac:dyDescent="0.25">
      <c r="C102" s="18" t="s">
        <v>25</v>
      </c>
      <c r="D102">
        <f t="shared" ref="D102:J102" si="16">(D57-D$83)/D$85</f>
        <v>0.51713269645735149</v>
      </c>
      <c r="E102">
        <f t="shared" si="16"/>
        <v>0.63664034065679664</v>
      </c>
      <c r="F102">
        <f t="shared" si="16"/>
        <v>0.79144144394604266</v>
      </c>
      <c r="G102">
        <f t="shared" si="16"/>
        <v>0.67870251133603743</v>
      </c>
      <c r="H102">
        <f t="shared" si="16"/>
        <v>0.6265166367641225</v>
      </c>
      <c r="I102">
        <f t="shared" si="16"/>
        <v>0.53119233149623846</v>
      </c>
      <c r="J102">
        <f t="shared" si="16"/>
        <v>0.77706618699598651</v>
      </c>
    </row>
    <row r="103" spans="3:10" x14ac:dyDescent="0.25">
      <c r="C103" s="16" t="s">
        <v>26</v>
      </c>
      <c r="D103">
        <f t="shared" ref="D103:J103" si="17">(D58-D$83)/D$85</f>
        <v>0.14217650435727486</v>
      </c>
      <c r="E103">
        <f t="shared" si="17"/>
        <v>0.3649517440823406</v>
      </c>
      <c r="F103">
        <f t="shared" si="17"/>
        <v>5.9437771891942721E-2</v>
      </c>
      <c r="G103">
        <f t="shared" si="17"/>
        <v>0.57382581302773927</v>
      </c>
      <c r="H103">
        <f t="shared" si="17"/>
        <v>0.38739910991405985</v>
      </c>
      <c r="I103">
        <f t="shared" si="17"/>
        <v>0.63660936635502807</v>
      </c>
      <c r="J103">
        <f t="shared" si="17"/>
        <v>0.30515260072524042</v>
      </c>
    </row>
    <row r="104" spans="3:10" x14ac:dyDescent="0.25">
      <c r="C104" s="18" t="s">
        <v>27</v>
      </c>
      <c r="D104">
        <f t="shared" ref="D104:J104" si="18">(D59-D$83)/D$85</f>
        <v>0.14261727792520115</v>
      </c>
      <c r="E104">
        <f t="shared" si="18"/>
        <v>0.31059884398328597</v>
      </c>
      <c r="F104">
        <f t="shared" si="18"/>
        <v>0.37342935085627443</v>
      </c>
      <c r="G104">
        <f t="shared" si="18"/>
        <v>0.5887944160839601</v>
      </c>
      <c r="H104">
        <f t="shared" si="18"/>
        <v>0.65960534693733297</v>
      </c>
      <c r="I104">
        <f t="shared" si="18"/>
        <v>0.67709258528008431</v>
      </c>
      <c r="J104">
        <f t="shared" si="18"/>
        <v>0.71210632553877318</v>
      </c>
    </row>
    <row r="105" spans="3:10" x14ac:dyDescent="0.25">
      <c r="C105" s="16" t="s">
        <v>28</v>
      </c>
      <c r="D105">
        <f t="shared" ref="D105:J105" si="19">(D60-D$83)/D$85</f>
        <v>9.5285305113364971E-2</v>
      </c>
      <c r="E105">
        <f t="shared" si="19"/>
        <v>0.37894652948298052</v>
      </c>
      <c r="F105">
        <f t="shared" si="19"/>
        <v>0.14054628989978976</v>
      </c>
      <c r="G105">
        <f t="shared" si="19"/>
        <v>0.49628354145780812</v>
      </c>
      <c r="H105">
        <f t="shared" si="19"/>
        <v>0.50742714346363127</v>
      </c>
      <c r="I105">
        <f t="shared" si="19"/>
        <v>0.58643303014291315</v>
      </c>
      <c r="J105">
        <f t="shared" si="19"/>
        <v>0.53981232182662253</v>
      </c>
    </row>
    <row r="106" spans="3:10" x14ac:dyDescent="0.25">
      <c r="C106" s="18" t="s">
        <v>29</v>
      </c>
      <c r="D106">
        <f t="shared" ref="D106:J106" si="20">(D61-D$83)/D$85</f>
        <v>1</v>
      </c>
      <c r="E106">
        <f t="shared" si="20"/>
        <v>0.91368206124687379</v>
      </c>
      <c r="F106">
        <f t="shared" si="20"/>
        <v>0.84003604985699176</v>
      </c>
      <c r="G106">
        <f t="shared" si="20"/>
        <v>2.5167890804912978E-4</v>
      </c>
      <c r="H106">
        <f t="shared" si="20"/>
        <v>0.15802867788705743</v>
      </c>
      <c r="I106">
        <f t="shared" si="20"/>
        <v>0</v>
      </c>
      <c r="J106">
        <f t="shared" si="20"/>
        <v>0.45126586717054518</v>
      </c>
    </row>
    <row r="107" spans="3:10" x14ac:dyDescent="0.25">
      <c r="C107" s="16" t="s">
        <v>30</v>
      </c>
      <c r="D107">
        <f t="shared" ref="D107:J107" si="21">(D62-D$83)/D$85</f>
        <v>0.21889254920004619</v>
      </c>
      <c r="E107">
        <f t="shared" si="21"/>
        <v>0.49828646898755558</v>
      </c>
      <c r="F107">
        <f t="shared" si="21"/>
        <v>0.62117621370120091</v>
      </c>
      <c r="G107">
        <f t="shared" si="21"/>
        <v>0.69777767524192635</v>
      </c>
      <c r="H107">
        <f t="shared" si="21"/>
        <v>0.79408050131259567</v>
      </c>
      <c r="I107">
        <f t="shared" si="21"/>
        <v>0.62397674647525581</v>
      </c>
      <c r="J107">
        <f t="shared" si="21"/>
        <v>0.9724946333783534</v>
      </c>
    </row>
    <row r="108" spans="3:10" x14ac:dyDescent="0.25">
      <c r="C108" s="18" t="s">
        <v>31</v>
      </c>
      <c r="D108">
        <f t="shared" ref="D108:J108" si="22">(D63-D$83)/D$85</f>
        <v>4.1496228988376092E-2</v>
      </c>
      <c r="E108">
        <f t="shared" si="22"/>
        <v>0.35069509015488198</v>
      </c>
      <c r="F108">
        <f t="shared" si="22"/>
        <v>5.1958928720915648E-2</v>
      </c>
      <c r="G108">
        <f t="shared" si="22"/>
        <v>0.77754730514809201</v>
      </c>
      <c r="H108">
        <f t="shared" si="22"/>
        <v>0.48738543052160366</v>
      </c>
      <c r="I108">
        <f t="shared" si="22"/>
        <v>0.75501203295229924</v>
      </c>
      <c r="J108">
        <f t="shared" si="22"/>
        <v>0.37060029476325745</v>
      </c>
    </row>
    <row r="109" spans="3:10" x14ac:dyDescent="0.25">
      <c r="C109" s="16" t="s">
        <v>32</v>
      </c>
      <c r="D109">
        <f t="shared" ref="D109:J109" si="23">(D64-D$83)/D$85</f>
        <v>0.8811309481596884</v>
      </c>
      <c r="E109">
        <f t="shared" si="23"/>
        <v>0.95925667290343897</v>
      </c>
      <c r="F109">
        <f t="shared" si="23"/>
        <v>0.64588096563265485</v>
      </c>
      <c r="G109">
        <f t="shared" si="23"/>
        <v>0.62134698551587886</v>
      </c>
      <c r="H109">
        <f t="shared" si="23"/>
        <v>0.11514081920783141</v>
      </c>
      <c r="I109">
        <f t="shared" si="23"/>
        <v>0.30788970189732562</v>
      </c>
      <c r="J109">
        <f t="shared" si="23"/>
        <v>0.13206670700905423</v>
      </c>
    </row>
    <row r="110" spans="3:10" x14ac:dyDescent="0.25">
      <c r="C110" s="18" t="s">
        <v>33</v>
      </c>
      <c r="D110">
        <f t="shared" ref="D110:J110" si="24">(D65-D$83)/D$85</f>
        <v>0.47863126982846227</v>
      </c>
      <c r="E110">
        <f t="shared" si="24"/>
        <v>0.83425619850393373</v>
      </c>
      <c r="F110">
        <f t="shared" si="24"/>
        <v>0.64470439562568971</v>
      </c>
      <c r="G110">
        <f t="shared" si="24"/>
        <v>0.74827075616927918</v>
      </c>
      <c r="H110">
        <f t="shared" si="24"/>
        <v>0.5398088913003809</v>
      </c>
      <c r="I110">
        <f t="shared" si="24"/>
        <v>0.45089344812253135</v>
      </c>
      <c r="J110">
        <f t="shared" si="24"/>
        <v>0.70214555186812366</v>
      </c>
    </row>
    <row r="111" spans="3:10" x14ac:dyDescent="0.25">
      <c r="C111" s="16" t="s">
        <v>34</v>
      </c>
      <c r="D111">
        <f t="shared" ref="D111:J111" si="25">(D66-D$83)/D$85</f>
        <v>0.12065228360354402</v>
      </c>
      <c r="E111">
        <f t="shared" si="25"/>
        <v>0.38047409588942321</v>
      </c>
      <c r="F111">
        <f t="shared" si="25"/>
        <v>0.1578080173565998</v>
      </c>
      <c r="G111">
        <f t="shared" si="25"/>
        <v>0.55181020054614316</v>
      </c>
      <c r="H111">
        <f t="shared" si="25"/>
        <v>0.49558883978908735</v>
      </c>
      <c r="I111">
        <f t="shared" si="25"/>
        <v>0.61547730710787119</v>
      </c>
      <c r="J111">
        <f t="shared" si="25"/>
        <v>0.49711051001887174</v>
      </c>
    </row>
    <row r="112" spans="3:10" x14ac:dyDescent="0.25">
      <c r="C112" s="18" t="s">
        <v>35</v>
      </c>
      <c r="D112">
        <f t="shared" ref="D112:J112" si="26">(D67-D$83)/D$85</f>
        <v>0.73464242768895704</v>
      </c>
      <c r="E112">
        <f t="shared" si="26"/>
        <v>0.78574600270977002</v>
      </c>
      <c r="F112">
        <f t="shared" si="26"/>
        <v>0.5928019132182798</v>
      </c>
      <c r="G112">
        <f t="shared" si="26"/>
        <v>0.71201640946480471</v>
      </c>
      <c r="H112">
        <f t="shared" si="26"/>
        <v>0.22397511077257637</v>
      </c>
      <c r="I112">
        <f t="shared" si="26"/>
        <v>0.46025957686097785</v>
      </c>
      <c r="J112">
        <f t="shared" si="26"/>
        <v>0.18424030667352387</v>
      </c>
    </row>
    <row r="113" spans="3:10" x14ac:dyDescent="0.25">
      <c r="C113" s="16" t="s">
        <v>36</v>
      </c>
      <c r="D113">
        <f t="shared" ref="D113:J113" si="27">(D68-D$83)/D$85</f>
        <v>0.13843307607644639</v>
      </c>
      <c r="E113">
        <f t="shared" si="27"/>
        <v>0.47392890079737071</v>
      </c>
      <c r="F113">
        <f t="shared" si="27"/>
        <v>0.12333340121179193</v>
      </c>
      <c r="G113">
        <f t="shared" si="27"/>
        <v>0.85805938783300262</v>
      </c>
      <c r="H113">
        <f t="shared" si="27"/>
        <v>0.44684561254397587</v>
      </c>
      <c r="I113">
        <f t="shared" si="27"/>
        <v>0.72496755572099847</v>
      </c>
      <c r="J113">
        <f t="shared" si="27"/>
        <v>0.32948487485111649</v>
      </c>
    </row>
    <row r="114" spans="3:10" x14ac:dyDescent="0.25">
      <c r="C114" s="18" t="s">
        <v>37</v>
      </c>
      <c r="D114">
        <f t="shared" ref="D114:J114" si="28">(D69-D$83)/D$85</f>
        <v>0.43837476640255874</v>
      </c>
      <c r="E114">
        <f t="shared" si="28"/>
        <v>0.16238125780387189</v>
      </c>
      <c r="F114">
        <f t="shared" si="28"/>
        <v>0.57120589901880658</v>
      </c>
      <c r="G114">
        <f t="shared" si="28"/>
        <v>0.64494607779395052</v>
      </c>
      <c r="H114">
        <f t="shared" si="28"/>
        <v>0.51855819438800632</v>
      </c>
      <c r="I114">
        <f t="shared" si="28"/>
        <v>0.79576001077138747</v>
      </c>
      <c r="J114">
        <f t="shared" si="28"/>
        <v>0.38789338056538014</v>
      </c>
    </row>
    <row r="115" spans="3:10" x14ac:dyDescent="0.25">
      <c r="C115" s="16" t="s">
        <v>38</v>
      </c>
      <c r="D115">
        <f t="shared" ref="D115:J115" si="29">(D70-D$83)/D$85</f>
        <v>0.33524263873880916</v>
      </c>
      <c r="E115">
        <f t="shared" si="29"/>
        <v>0</v>
      </c>
      <c r="F115">
        <f t="shared" si="29"/>
        <v>1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1</v>
      </c>
    </row>
    <row r="116" spans="3:10" x14ac:dyDescent="0.25">
      <c r="C116" s="18" t="s">
        <v>39</v>
      </c>
      <c r="D116">
        <f t="shared" ref="D116:J116" si="30">(D71-D$83)/D$85</f>
        <v>4.5619062372290228E-2</v>
      </c>
      <c r="E116">
        <f t="shared" si="30"/>
        <v>0.44025222872887504</v>
      </c>
      <c r="F116">
        <f t="shared" si="30"/>
        <v>0.15611429339305422</v>
      </c>
      <c r="G116">
        <f t="shared" si="30"/>
        <v>0.62338768199531025</v>
      </c>
      <c r="H116">
        <f t="shared" si="30"/>
        <v>0.57347428039118364</v>
      </c>
      <c r="I116">
        <f t="shared" si="30"/>
        <v>0.61844849025200754</v>
      </c>
      <c r="J116">
        <f t="shared" si="30"/>
        <v>0.62054097813246278</v>
      </c>
    </row>
    <row r="117" spans="3:10" x14ac:dyDescent="0.25">
      <c r="C117" s="16" t="s">
        <v>41</v>
      </c>
      <c r="D117">
        <f t="shared" ref="D117:J117" si="31">(D72-D$83)/D$85</f>
        <v>0.35538888837172733</v>
      </c>
      <c r="E117">
        <f t="shared" si="31"/>
        <v>0.37394066590509739</v>
      </c>
      <c r="F117">
        <f t="shared" si="31"/>
        <v>0.61479490605238196</v>
      </c>
      <c r="G117">
        <f t="shared" si="31"/>
        <v>0.66917436734214486</v>
      </c>
      <c r="H117">
        <f t="shared" si="31"/>
        <v>0.64417831555695493</v>
      </c>
      <c r="I117">
        <f t="shared" si="31"/>
        <v>0.68268759695097314</v>
      </c>
      <c r="J117">
        <f t="shared" si="31"/>
        <v>0.68263907655934009</v>
      </c>
    </row>
    <row r="118" spans="3:10" x14ac:dyDescent="0.25">
      <c r="C118" s="18" t="s">
        <v>42</v>
      </c>
      <c r="D118">
        <f t="shared" ref="D118:J118" si="32">(D73-D$83)/D$85</f>
        <v>0.8004118361547452</v>
      </c>
      <c r="E118">
        <f t="shared" si="32"/>
        <v>1</v>
      </c>
      <c r="F118">
        <f t="shared" si="32"/>
        <v>0.57853191596525011</v>
      </c>
      <c r="G118">
        <f t="shared" si="32"/>
        <v>0.84995742431805499</v>
      </c>
      <c r="H118">
        <f t="shared" si="32"/>
        <v>0.14202421695861797</v>
      </c>
      <c r="I118">
        <f t="shared" si="32"/>
        <v>0.40692536854098615</v>
      </c>
      <c r="J118">
        <f t="shared" si="32"/>
        <v>9.5119143974755918E-2</v>
      </c>
    </row>
    <row r="119" spans="3:10" x14ac:dyDescent="0.25">
      <c r="C119" s="16" t="s">
        <v>43</v>
      </c>
      <c r="D119">
        <f t="shared" ref="D119:J119" si="33">(D74-D$83)/D$85</f>
        <v>0.61503281545919752</v>
      </c>
      <c r="E119">
        <f t="shared" si="33"/>
        <v>0.73928141758162536</v>
      </c>
      <c r="F119">
        <f t="shared" si="33"/>
        <v>0.51679404658607453</v>
      </c>
      <c r="G119">
        <f t="shared" si="33"/>
        <v>0.20054404590623287</v>
      </c>
      <c r="H119">
        <f t="shared" si="33"/>
        <v>0.28447032105998493</v>
      </c>
      <c r="I119">
        <f t="shared" si="33"/>
        <v>0.21203906211990414</v>
      </c>
      <c r="J119">
        <f t="shared" si="33"/>
        <v>0.4834567517459783</v>
      </c>
    </row>
    <row r="120" spans="3:10" x14ac:dyDescent="0.25">
      <c r="C120" s="18" t="s">
        <v>44</v>
      </c>
      <c r="D120">
        <f t="shared" ref="D120:J120" si="34">(D75-D$83)/D$85</f>
        <v>0.78960413755965342</v>
      </c>
      <c r="E120">
        <f t="shared" si="34"/>
        <v>0.74389447836928024</v>
      </c>
      <c r="F120">
        <f t="shared" si="34"/>
        <v>0.53659417601218118</v>
      </c>
      <c r="G120">
        <f t="shared" si="34"/>
        <v>0.67099903942550088</v>
      </c>
      <c r="H120">
        <f t="shared" si="34"/>
        <v>0.11703558786873978</v>
      </c>
      <c r="I120">
        <f t="shared" si="34"/>
        <v>0.46308593462718217</v>
      </c>
      <c r="J120">
        <f t="shared" si="34"/>
        <v>9.1605271083545544E-3</v>
      </c>
    </row>
    <row r="121" spans="3:10" x14ac:dyDescent="0.25">
      <c r="C121" s="16" t="s">
        <v>45</v>
      </c>
      <c r="D121">
        <f t="shared" ref="D121:J121" si="35">(D76-D$83)/D$85</f>
        <v>0.11432129321761229</v>
      </c>
      <c r="E121">
        <f t="shared" si="35"/>
        <v>0.53085304621410223</v>
      </c>
      <c r="F121">
        <f t="shared" si="35"/>
        <v>0.18346402419864999</v>
      </c>
      <c r="G121">
        <f t="shared" si="35"/>
        <v>0.505524352031678</v>
      </c>
      <c r="H121">
        <f t="shared" si="35"/>
        <v>0.52456444147286796</v>
      </c>
      <c r="I121">
        <f t="shared" si="35"/>
        <v>0.50084349468162748</v>
      </c>
      <c r="J121">
        <f t="shared" si="35"/>
        <v>0.63697179938529891</v>
      </c>
    </row>
    <row r="122" spans="3:10" x14ac:dyDescent="0.25">
      <c r="C122" s="18" t="s">
        <v>46</v>
      </c>
      <c r="D122">
        <f t="shared" ref="D122:J122" si="36">(D77-D$83)/D$85</f>
        <v>0.19966204778225549</v>
      </c>
      <c r="E122">
        <f t="shared" si="36"/>
        <v>0.27272278749558815</v>
      </c>
      <c r="F122">
        <f t="shared" si="36"/>
        <v>0.47097628150454818</v>
      </c>
      <c r="G122">
        <f t="shared" si="36"/>
        <v>0.54329506415714834</v>
      </c>
      <c r="H122">
        <f t="shared" si="36"/>
        <v>0.68398433899714262</v>
      </c>
      <c r="I122">
        <f t="shared" si="36"/>
        <v>0.67513065398841166</v>
      </c>
      <c r="J122">
        <f t="shared" si="36"/>
        <v>0.75308870253233662</v>
      </c>
    </row>
    <row r="123" spans="3:10" x14ac:dyDescent="0.25">
      <c r="C123" s="16" t="s">
        <v>47</v>
      </c>
      <c r="D123">
        <f t="shared" ref="D123:J123" si="37">(D78-D$83)/D$85</f>
        <v>0.95570242672484174</v>
      </c>
      <c r="E123">
        <f t="shared" si="37"/>
        <v>0.80552656447468807</v>
      </c>
      <c r="F123">
        <f t="shared" si="37"/>
        <v>0.6041115027778402</v>
      </c>
      <c r="G123">
        <f t="shared" si="37"/>
        <v>0.32818090679910572</v>
      </c>
      <c r="H123">
        <f t="shared" si="37"/>
        <v>0</v>
      </c>
      <c r="I123">
        <f t="shared" si="37"/>
        <v>0.24139675025429297</v>
      </c>
      <c r="J123">
        <f t="shared" si="37"/>
        <v>0</v>
      </c>
    </row>
    <row r="124" spans="3:10" x14ac:dyDescent="0.25">
      <c r="C124" s="18" t="s">
        <v>48</v>
      </c>
      <c r="D124">
        <f t="shared" ref="D124:J124" si="38">(D79-D$83)/D$85</f>
        <v>0.1348411896234703</v>
      </c>
      <c r="E124">
        <f t="shared" si="38"/>
        <v>0.32792960670383431</v>
      </c>
      <c r="F124">
        <f t="shared" si="38"/>
        <v>0.34549727651980811</v>
      </c>
      <c r="G124">
        <f t="shared" si="38"/>
        <v>0.52877528848694832</v>
      </c>
      <c r="H124">
        <f t="shared" si="38"/>
        <v>0.64357305497958961</v>
      </c>
      <c r="I124">
        <f t="shared" si="38"/>
        <v>0.63438041327279338</v>
      </c>
      <c r="J124">
        <f t="shared" si="38"/>
        <v>0.72087047132571902</v>
      </c>
    </row>
    <row r="125" spans="3:10" x14ac:dyDescent="0.25">
      <c r="C125" s="16" t="s">
        <v>49</v>
      </c>
      <c r="D125">
        <f t="shared" ref="D125:J125" si="39">(D80-D$83)/D$85</f>
        <v>0.38205815445663199</v>
      </c>
      <c r="E125">
        <f t="shared" si="39"/>
        <v>0.21144555221999994</v>
      </c>
      <c r="F125">
        <f t="shared" si="39"/>
        <v>0.5947050192614235</v>
      </c>
      <c r="G125">
        <f t="shared" si="39"/>
        <v>0.71105164031728307</v>
      </c>
      <c r="H125">
        <f t="shared" si="39"/>
        <v>0.59852629876266317</v>
      </c>
      <c r="I125">
        <f t="shared" si="39"/>
        <v>0.80216740229661365</v>
      </c>
      <c r="J125">
        <f t="shared" si="39"/>
        <v>0.5118998212660345</v>
      </c>
    </row>
    <row r="126" spans="3:10" x14ac:dyDescent="0.25">
      <c r="C126" s="18" t="s">
        <v>51</v>
      </c>
      <c r="D126">
        <f t="shared" ref="D126:J126" si="40">(D81-D$83)/D$85</f>
        <v>0.37802541613763196</v>
      </c>
      <c r="E126">
        <f t="shared" si="40"/>
        <v>0.65492369758359881</v>
      </c>
      <c r="F126">
        <f t="shared" si="40"/>
        <v>0.70502296711634516</v>
      </c>
      <c r="G126">
        <f t="shared" si="40"/>
        <v>0.5089199199661073</v>
      </c>
      <c r="H126">
        <f t="shared" si="40"/>
        <v>0.6985922347709016</v>
      </c>
      <c r="I126">
        <f t="shared" si="40"/>
        <v>0.42869782750618624</v>
      </c>
      <c r="J126">
        <f t="shared" si="40"/>
        <v>0.97671249095660184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87B5-343C-4BC1-9E94-BF2F1C24AC16}">
  <sheetPr codeName="Sheet9"/>
  <dimension ref="A1:K126"/>
  <sheetViews>
    <sheetView tabSelected="1" topLeftCell="A84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-0.44238506747827377</v>
      </c>
      <c r="E2">
        <v>3.7859999999999999E-3</v>
      </c>
      <c r="F2">
        <v>-0.76162300703885155</v>
      </c>
      <c r="G2">
        <v>1.5772999999999999E-2</v>
      </c>
      <c r="H2">
        <v>-0.31923793956057778</v>
      </c>
      <c r="I2">
        <v>1.1986999999999999E-2</v>
      </c>
      <c r="J2">
        <v>-0.3312249395605778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-2.5197186665566099E-2</v>
      </c>
      <c r="E3">
        <v>4.3747000000000001E-2</v>
      </c>
      <c r="F3">
        <v>-6.4318635285112363E-2</v>
      </c>
      <c r="G3">
        <v>3.9851999999999999E-2</v>
      </c>
      <c r="H3">
        <v>-3.9121448619546265E-2</v>
      </c>
      <c r="I3">
        <v>-3.8950000000000026E-3</v>
      </c>
      <c r="J3">
        <v>-3.5226448619546262E-2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-0.35368376510370458</v>
      </c>
      <c r="E4">
        <v>9.6906000000000006E-2</v>
      </c>
      <c r="F4">
        <v>0.32152432555576005</v>
      </c>
      <c r="G4">
        <v>1.2330000000000001E-2</v>
      </c>
      <c r="H4">
        <v>0.67520809065946463</v>
      </c>
      <c r="I4">
        <v>-8.4576000000000012E-2</v>
      </c>
      <c r="J4">
        <v>0.75978409065946462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-0.58626434427530061</v>
      </c>
      <c r="E5">
        <v>5.4903E-2</v>
      </c>
      <c r="F5">
        <v>-8.2382135917439092E-2</v>
      </c>
      <c r="G5">
        <v>-0.12700900000000001</v>
      </c>
      <c r="H5">
        <v>0.50388220835786157</v>
      </c>
      <c r="I5">
        <v>-0.18191200000000002</v>
      </c>
      <c r="J5">
        <v>0.68579420835786165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0.23801810431243881</v>
      </c>
      <c r="E6">
        <v>4.6280000000000002E-2</v>
      </c>
      <c r="F6">
        <v>3.2610972343826733E-2</v>
      </c>
      <c r="G6">
        <v>-5.0600000000000005E-4</v>
      </c>
      <c r="H6">
        <v>-0.20540713196861207</v>
      </c>
      <c r="I6">
        <v>-4.6786000000000001E-2</v>
      </c>
      <c r="J6">
        <v>-0.15862113196861208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0.63259880695844017</v>
      </c>
      <c r="E7">
        <v>0.175566</v>
      </c>
      <c r="F7">
        <v>0.24663883142960527</v>
      </c>
      <c r="G7">
        <v>3.6249999999999998E-2</v>
      </c>
      <c r="H7">
        <v>-0.38595997552883488</v>
      </c>
      <c r="I7">
        <v>-0.139316</v>
      </c>
      <c r="J7">
        <v>-0.24664397552883488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0.51468989456341807</v>
      </c>
      <c r="E8">
        <v>0.13925399999999999</v>
      </c>
      <c r="F8">
        <v>0.41207848044253242</v>
      </c>
      <c r="G8">
        <v>0.217226</v>
      </c>
      <c r="H8">
        <v>-0.10261141412088565</v>
      </c>
      <c r="I8">
        <v>7.7972000000000014E-2</v>
      </c>
      <c r="J8">
        <v>-0.18058341412088566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0.18562173456218631</v>
      </c>
      <c r="E9">
        <v>0.19956699999999999</v>
      </c>
      <c r="F9">
        <v>0.40722978633042162</v>
      </c>
      <c r="G9">
        <v>-0.25957200000000002</v>
      </c>
      <c r="H9">
        <v>0.22160805176823531</v>
      </c>
      <c r="I9">
        <v>-0.45913900000000002</v>
      </c>
      <c r="J9">
        <v>0.68074705176823536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-0.67705659208667379</v>
      </c>
      <c r="E10">
        <v>3.1259000000000002E-2</v>
      </c>
      <c r="F10">
        <v>5.4582747944072231E-2</v>
      </c>
      <c r="G10">
        <v>7.2361999999999996E-2</v>
      </c>
      <c r="H10">
        <v>0.73163934003074604</v>
      </c>
      <c r="I10">
        <v>4.1102999999999994E-2</v>
      </c>
      <c r="J10">
        <v>0.69053634003074604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-0.2224768121751306</v>
      </c>
      <c r="E11">
        <v>0.175673</v>
      </c>
      <c r="F11">
        <v>-0.26930050100393388</v>
      </c>
      <c r="G11">
        <v>0.165189</v>
      </c>
      <c r="H11">
        <v>-4.6823688828803278E-2</v>
      </c>
      <c r="I11">
        <v>-1.0483999999999993E-2</v>
      </c>
      <c r="J11">
        <v>-3.6339688828803285E-2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-5.9508495649760497E-2</v>
      </c>
      <c r="E12">
        <v>-1.5774E-2</v>
      </c>
      <c r="F12">
        <v>1.0793093212623187E-2</v>
      </c>
      <c r="G12">
        <v>0.135711</v>
      </c>
      <c r="H12">
        <v>7.030158886238369E-2</v>
      </c>
      <c r="I12">
        <v>0.15148500000000001</v>
      </c>
      <c r="J12">
        <v>-8.1183411137616318E-2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-0.62560388358750252</v>
      </c>
      <c r="E13">
        <v>-2.6273999999999999E-2</v>
      </c>
      <c r="F13">
        <v>0.17289065118602229</v>
      </c>
      <c r="G13">
        <v>-0.16467399999999999</v>
      </c>
      <c r="H13">
        <v>0.79849453477352483</v>
      </c>
      <c r="I13">
        <v>-0.1384</v>
      </c>
      <c r="J13">
        <v>0.9368945347735248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0.72423903228975717</v>
      </c>
      <c r="E14">
        <v>8.8932999999999998E-2</v>
      </c>
      <c r="F14">
        <v>0.56076763767872917</v>
      </c>
      <c r="G14">
        <v>-5.9866999999999997E-2</v>
      </c>
      <c r="H14">
        <v>-0.163471394611028</v>
      </c>
      <c r="I14">
        <v>-0.14879999999999999</v>
      </c>
      <c r="J14">
        <v>-1.467139461102801E-2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0.69600674034238086</v>
      </c>
      <c r="E15">
        <v>0.16705999999999999</v>
      </c>
      <c r="F15">
        <v>-0.30241080245507379</v>
      </c>
      <c r="G15">
        <v>6.4032000000000006E-2</v>
      </c>
      <c r="H15">
        <v>-0.99841754279745465</v>
      </c>
      <c r="I15">
        <v>-0.10302799999999998</v>
      </c>
      <c r="J15">
        <v>-0.89538954279745464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-0.23755250855537241</v>
      </c>
      <c r="E16">
        <v>2.3885E-2</v>
      </c>
      <c r="F16">
        <v>-7.1292184063410591E-2</v>
      </c>
      <c r="G16">
        <v>1.4027E-2</v>
      </c>
      <c r="H16">
        <v>0.16626032449196182</v>
      </c>
      <c r="I16">
        <v>-9.8580000000000004E-3</v>
      </c>
      <c r="J16">
        <v>0.17611832449196183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-0.97180020441243642</v>
      </c>
      <c r="E17">
        <v>-4.7580000000000001E-3</v>
      </c>
      <c r="F17">
        <v>-5.3039911415345559E-2</v>
      </c>
      <c r="G17">
        <v>2.1163999999999999E-2</v>
      </c>
      <c r="H17">
        <v>0.91876029299709083</v>
      </c>
      <c r="I17">
        <v>2.5922000000000001E-2</v>
      </c>
      <c r="J17">
        <v>0.89283829299709083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-0.77801995890600317</v>
      </c>
      <c r="E18">
        <v>3.1260000000000003E-2</v>
      </c>
      <c r="F18">
        <v>-0.18609703754129167</v>
      </c>
      <c r="G18">
        <v>-2.2945E-2</v>
      </c>
      <c r="H18">
        <v>0.59192292136471147</v>
      </c>
      <c r="I18">
        <v>-5.4205000000000003E-2</v>
      </c>
      <c r="J18">
        <v>0.64612792136471153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0.94739541792374116</v>
      </c>
      <c r="E19">
        <v>0.313056</v>
      </c>
      <c r="F19">
        <v>0.41932805943243262</v>
      </c>
      <c r="G19">
        <v>-0.25945200000000002</v>
      </c>
      <c r="H19">
        <v>-0.52806735849130848</v>
      </c>
      <c r="I19">
        <v>-0.57250800000000002</v>
      </c>
      <c r="J19">
        <v>4.4440641508691536E-2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0.96704169568119003</v>
      </c>
      <c r="E20">
        <v>9.4149999999999998E-2</v>
      </c>
      <c r="F20">
        <v>2.4446414535056237E-3</v>
      </c>
      <c r="G20">
        <v>7.3126999999999998E-2</v>
      </c>
      <c r="H20">
        <v>-0.96459705422768438</v>
      </c>
      <c r="I20">
        <v>-2.1023E-2</v>
      </c>
      <c r="J20">
        <v>-0.94357405422768437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4.2745248475903001E-3</v>
      </c>
      <c r="E21">
        <v>1.6372000000000001E-2</v>
      </c>
      <c r="F21">
        <v>0.34764048766402811</v>
      </c>
      <c r="G21">
        <v>0.111161</v>
      </c>
      <c r="H21">
        <v>0.34336596281643783</v>
      </c>
      <c r="I21">
        <v>9.4788999999999998E-2</v>
      </c>
      <c r="J21">
        <v>0.24857696281643782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1.1832642855023168</v>
      </c>
      <c r="E22">
        <v>0.33707300000000001</v>
      </c>
      <c r="F22">
        <v>0.41421379100795164</v>
      </c>
      <c r="G22">
        <v>3.6685000000000002E-2</v>
      </c>
      <c r="H22">
        <v>-0.76905049449436513</v>
      </c>
      <c r="I22">
        <v>-0.30038799999999999</v>
      </c>
      <c r="J22">
        <v>-0.46866249449436514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-6.52733520584627E-2</v>
      </c>
      <c r="E23">
        <v>0.2712</v>
      </c>
      <c r="F23">
        <v>0.17533511082568082</v>
      </c>
      <c r="G23">
        <v>9.7201999999999997E-2</v>
      </c>
      <c r="H23">
        <v>0.2406084628841435</v>
      </c>
      <c r="I23">
        <v>-0.17399799999999999</v>
      </c>
      <c r="J23">
        <v>0.41460646288414349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-6.4059923955670506E-2</v>
      </c>
      <c r="E24">
        <v>3.2065000000000003E-2</v>
      </c>
      <c r="F24">
        <v>0.23958271385987134</v>
      </c>
      <c r="G24">
        <v>3.5300000000000002E-3</v>
      </c>
      <c r="H24">
        <v>0.30364263781554185</v>
      </c>
      <c r="I24">
        <v>-2.8535000000000005E-2</v>
      </c>
      <c r="J24">
        <v>0.33217763781554188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0.47885339315838221</v>
      </c>
      <c r="E25">
        <v>0.24563599999999999</v>
      </c>
      <c r="F25">
        <v>9.7223608128941902E-2</v>
      </c>
      <c r="G25">
        <v>7.9916000000000001E-2</v>
      </c>
      <c r="H25">
        <v>-0.38162978502944034</v>
      </c>
      <c r="I25">
        <v>-0.16571999999999998</v>
      </c>
      <c r="J25">
        <v>-0.21590978502944036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-0.21823354708832951</v>
      </c>
      <c r="E26">
        <v>8.1313999999999997E-2</v>
      </c>
      <c r="F26">
        <v>0.70480944533617684</v>
      </c>
      <c r="G26">
        <v>0.14954899999999999</v>
      </c>
      <c r="H26">
        <v>0.92304299242450638</v>
      </c>
      <c r="I26">
        <v>6.823499999999999E-2</v>
      </c>
      <c r="J26">
        <v>0.85480799242450645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0.4702571455224015</v>
      </c>
      <c r="E27">
        <v>-8.2865999999999995E-2</v>
      </c>
      <c r="F27">
        <v>0.68069816770409897</v>
      </c>
      <c r="G27">
        <v>4.7937E-2</v>
      </c>
      <c r="H27">
        <v>0.21044102218169747</v>
      </c>
      <c r="I27">
        <v>0.130803</v>
      </c>
      <c r="J27">
        <v>7.9638022181697465E-2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0.51854315803326645</v>
      </c>
      <c r="E28">
        <v>-0.168438</v>
      </c>
      <c r="F28">
        <v>1.1503265313847144</v>
      </c>
      <c r="G28">
        <v>0.142877</v>
      </c>
      <c r="H28">
        <v>0.63178337335144796</v>
      </c>
      <c r="I28">
        <v>0.31131500000000001</v>
      </c>
      <c r="J28">
        <v>0.32046837335144795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-0.1121967065322108</v>
      </c>
      <c r="E29">
        <v>6.3566999999999999E-2</v>
      </c>
      <c r="F29">
        <v>0.15938670717019482</v>
      </c>
      <c r="G29">
        <v>3.7657999999999997E-2</v>
      </c>
      <c r="H29">
        <v>0.27158341370240563</v>
      </c>
      <c r="I29">
        <v>-2.5909000000000001E-2</v>
      </c>
      <c r="J29">
        <v>0.29749241370240564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1.8582047351771069</v>
      </c>
      <c r="E30">
        <v>0.81220199999999998</v>
      </c>
      <c r="F30">
        <v>1.0654639047863399</v>
      </c>
      <c r="G30">
        <v>0.70438599999999996</v>
      </c>
      <c r="H30">
        <v>-0.79274083039076704</v>
      </c>
      <c r="I30">
        <v>-0.10781600000000002</v>
      </c>
      <c r="J30">
        <v>-0.68492483039076701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1.47847596044322E-2</v>
      </c>
      <c r="E31">
        <v>2.8622000000000002E-2</v>
      </c>
      <c r="F31">
        <v>0.46818590239064067</v>
      </c>
      <c r="G31">
        <v>5.9489E-2</v>
      </c>
      <c r="H31">
        <v>0.45340114278620847</v>
      </c>
      <c r="I31">
        <v>3.0866999999999999E-2</v>
      </c>
      <c r="J31">
        <v>0.42253414278620849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1.6664261136982272</v>
      </c>
      <c r="E32">
        <v>0.35854399999999997</v>
      </c>
      <c r="F32">
        <v>0.73119224756605938</v>
      </c>
      <c r="G32">
        <v>0.14568600000000001</v>
      </c>
      <c r="H32">
        <v>-0.93523386613216786</v>
      </c>
      <c r="I32">
        <v>-0.21285799999999996</v>
      </c>
      <c r="J32">
        <v>-0.72237586613216787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1.5894313676425176</v>
      </c>
      <c r="E33">
        <v>0.22115000000000001</v>
      </c>
      <c r="F33">
        <v>0.10777027278873659</v>
      </c>
      <c r="G33">
        <v>-0.16395299999999999</v>
      </c>
      <c r="H33">
        <v>-1.4816610948537809</v>
      </c>
      <c r="I33">
        <v>-0.38510299999999997</v>
      </c>
      <c r="J33">
        <v>-1.096558094853781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1.7351804134383759</v>
      </c>
      <c r="E34">
        <v>0.223581</v>
      </c>
      <c r="F34">
        <v>0.59394535727965581</v>
      </c>
      <c r="G34">
        <v>6.0359000000000003E-2</v>
      </c>
      <c r="H34">
        <v>-1.1412350561587201</v>
      </c>
      <c r="I34">
        <v>-0.16322200000000001</v>
      </c>
      <c r="J34">
        <v>-0.97801305615872014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-0.81001146518983769</v>
      </c>
      <c r="E35">
        <v>0.11131199999999999</v>
      </c>
      <c r="F35">
        <v>-0.47293696936396806</v>
      </c>
      <c r="G35">
        <v>-1.8539E-2</v>
      </c>
      <c r="H35">
        <v>0.33707449582586962</v>
      </c>
      <c r="I35">
        <v>-0.12985099999999999</v>
      </c>
      <c r="J35">
        <v>0.46692549582586962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-0.3260180698644416</v>
      </c>
      <c r="E36">
        <v>-2.4718E-2</v>
      </c>
      <c r="F36">
        <v>-0.23760699599288779</v>
      </c>
      <c r="G36">
        <v>-5.2999999999999998E-4</v>
      </c>
      <c r="H36">
        <v>8.8411073871553808E-2</v>
      </c>
      <c r="I36">
        <v>2.4188000000000001E-2</v>
      </c>
      <c r="J36">
        <v>6.4223073871553807E-2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1.5275823956683865</v>
      </c>
      <c r="E37">
        <v>0.25606000000000001</v>
      </c>
      <c r="F37">
        <v>0.16091458901941388</v>
      </c>
      <c r="G37">
        <v>-0.10309599999999999</v>
      </c>
      <c r="H37">
        <v>-1.3666678066489726</v>
      </c>
      <c r="I37">
        <v>-0.35915600000000003</v>
      </c>
      <c r="J37">
        <v>-1.0075118066489726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0.48750266443725659</v>
      </c>
      <c r="E38">
        <v>4.3750000000000004E-3</v>
      </c>
      <c r="F38">
        <v>0.73993595140411084</v>
      </c>
      <c r="G38">
        <v>-7.4530000000000004E-3</v>
      </c>
      <c r="H38">
        <v>0.25243328696685424</v>
      </c>
      <c r="I38">
        <v>-1.1828000000000002E-2</v>
      </c>
      <c r="J38">
        <v>0.26426128696685425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-0.1864863429038961</v>
      </c>
      <c r="E39">
        <v>-5.7009999999999998E-2</v>
      </c>
      <c r="F39">
        <v>6.3590490196556673E-2</v>
      </c>
      <c r="G39">
        <v>7.9455999999999999E-2</v>
      </c>
      <c r="H39">
        <v>0.25007683310045276</v>
      </c>
      <c r="I39">
        <v>0.136466</v>
      </c>
      <c r="J39">
        <v>0.11361083310045275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1.172021004108786</v>
      </c>
      <c r="E40">
        <v>1.0811409999999999</v>
      </c>
      <c r="F40">
        <v>-0.14043219598725465</v>
      </c>
      <c r="G40">
        <v>0.99823200000000001</v>
      </c>
      <c r="H40">
        <v>-1.3124532000960407</v>
      </c>
      <c r="I40">
        <v>-8.2908999999999899E-2</v>
      </c>
      <c r="J40">
        <v>-1.2295442000960408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0.86987396872839018</v>
      </c>
      <c r="E41">
        <v>0.17669499999999999</v>
      </c>
      <c r="F41">
        <v>0.48881806671205452</v>
      </c>
      <c r="G41">
        <v>-1.6920000000000001E-2</v>
      </c>
      <c r="H41">
        <v>-0.38105590201633566</v>
      </c>
      <c r="I41">
        <v>-0.19361499999999998</v>
      </c>
      <c r="J41">
        <v>-0.18744090201633568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-0.44238506747827377</v>
      </c>
      <c r="E44" s="8">
        <v>3.7859999999999999E-3</v>
      </c>
      <c r="F44" s="8">
        <v>-0.76162300703885155</v>
      </c>
      <c r="G44" s="8">
        <v>1.5772999999999999E-2</v>
      </c>
      <c r="H44" s="8">
        <v>-0.31923793956057778</v>
      </c>
      <c r="I44" s="8">
        <v>1.1986999999999999E-2</v>
      </c>
      <c r="J44" s="8">
        <v>-0.3312249395605778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-2.5197186665566099E-2</v>
      </c>
      <c r="E45" s="10">
        <v>4.3747000000000001E-2</v>
      </c>
      <c r="F45" s="10">
        <v>-6.4318635285112363E-2</v>
      </c>
      <c r="G45" s="10">
        <v>3.9851999999999999E-2</v>
      </c>
      <c r="H45" s="10">
        <v>-3.9121448619546265E-2</v>
      </c>
      <c r="I45" s="10">
        <v>-3.8950000000000026E-3</v>
      </c>
      <c r="J45" s="10">
        <v>-3.5226448619546262E-2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-0.35368376510370458</v>
      </c>
      <c r="E46" s="8">
        <v>9.6906000000000006E-2</v>
      </c>
      <c r="F46" s="8">
        <v>0.32152432555576005</v>
      </c>
      <c r="G46" s="8">
        <v>1.2330000000000001E-2</v>
      </c>
      <c r="H46" s="8">
        <v>0.67520809065946463</v>
      </c>
      <c r="I46" s="8">
        <v>-8.4576000000000012E-2</v>
      </c>
      <c r="J46" s="8">
        <v>0.75978409065946462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-0.58626434427530061</v>
      </c>
      <c r="E47" s="10">
        <v>5.4903E-2</v>
      </c>
      <c r="F47" s="10">
        <v>-8.2382135917439092E-2</v>
      </c>
      <c r="G47" s="10">
        <v>-0.12700900000000001</v>
      </c>
      <c r="H47" s="10">
        <v>0.50388220835786157</v>
      </c>
      <c r="I47" s="10">
        <v>-0.18191200000000002</v>
      </c>
      <c r="J47" s="10">
        <v>0.68579420835786165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0.23801810431243881</v>
      </c>
      <c r="E48" s="8">
        <v>4.6280000000000002E-2</v>
      </c>
      <c r="F48" s="8">
        <v>3.2610972343826733E-2</v>
      </c>
      <c r="G48" s="8">
        <v>-5.0600000000000005E-4</v>
      </c>
      <c r="H48" s="8">
        <v>-0.20540713196861207</v>
      </c>
      <c r="I48" s="8">
        <v>-4.6786000000000001E-2</v>
      </c>
      <c r="J48" s="8">
        <v>-0.15862113196861208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0.63259880695844017</v>
      </c>
      <c r="E49" s="10">
        <v>0.175566</v>
      </c>
      <c r="F49" s="10">
        <v>0.24663883142960527</v>
      </c>
      <c r="G49" s="10">
        <v>3.6249999999999998E-2</v>
      </c>
      <c r="H49" s="10">
        <v>-0.38595997552883488</v>
      </c>
      <c r="I49" s="10">
        <v>-0.139316</v>
      </c>
      <c r="J49" s="10">
        <v>-0.24664397552883488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0.51468989456341807</v>
      </c>
      <c r="E50" s="8">
        <v>0.13925399999999999</v>
      </c>
      <c r="F50" s="8">
        <v>0.41207848044253242</v>
      </c>
      <c r="G50" s="8">
        <v>0.217226</v>
      </c>
      <c r="H50" s="8">
        <v>-0.10261141412088565</v>
      </c>
      <c r="I50" s="8">
        <v>7.7972000000000014E-2</v>
      </c>
      <c r="J50" s="8">
        <v>-0.18058341412088566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0.18562173456218631</v>
      </c>
      <c r="E51" s="10">
        <v>0.19956699999999999</v>
      </c>
      <c r="F51" s="10">
        <v>0.40722978633042162</v>
      </c>
      <c r="G51" s="10">
        <v>-0.25957200000000002</v>
      </c>
      <c r="H51" s="10">
        <v>0.22160805176823531</v>
      </c>
      <c r="I51" s="10">
        <v>-0.45913900000000002</v>
      </c>
      <c r="J51" s="10">
        <v>0.68074705176823536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-0.67705659208667379</v>
      </c>
      <c r="E52" s="8">
        <v>3.1259000000000002E-2</v>
      </c>
      <c r="F52" s="8">
        <v>5.4582747944072231E-2</v>
      </c>
      <c r="G52" s="8">
        <v>7.2361999999999996E-2</v>
      </c>
      <c r="H52" s="8">
        <v>0.73163934003074604</v>
      </c>
      <c r="I52" s="8">
        <v>4.1102999999999994E-2</v>
      </c>
      <c r="J52" s="8">
        <v>0.69053634003074604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-0.2224768121751306</v>
      </c>
      <c r="E53" s="10">
        <v>0.175673</v>
      </c>
      <c r="F53" s="10">
        <v>-0.26930050100393388</v>
      </c>
      <c r="G53" s="10">
        <v>0.165189</v>
      </c>
      <c r="H53" s="10">
        <v>-4.6823688828803278E-2</v>
      </c>
      <c r="I53" s="10">
        <v>-1.0483999999999993E-2</v>
      </c>
      <c r="J53" s="10">
        <v>-3.6339688828803285E-2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-5.9508495649760497E-2</v>
      </c>
      <c r="E54" s="8">
        <v>-1.5774E-2</v>
      </c>
      <c r="F54" s="8">
        <v>1.0793093212623187E-2</v>
      </c>
      <c r="G54" s="8">
        <v>0.135711</v>
      </c>
      <c r="H54" s="8">
        <v>7.030158886238369E-2</v>
      </c>
      <c r="I54" s="8">
        <v>0.15148500000000001</v>
      </c>
      <c r="J54" s="8">
        <v>-8.1183411137616318E-2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-0.62560388358750252</v>
      </c>
      <c r="E55" s="10">
        <v>-2.6273999999999999E-2</v>
      </c>
      <c r="F55" s="10">
        <v>0.17289065118602229</v>
      </c>
      <c r="G55" s="10">
        <v>-0.16467399999999999</v>
      </c>
      <c r="H55" s="10">
        <v>0.79849453477352483</v>
      </c>
      <c r="I55" s="10">
        <v>-0.1384</v>
      </c>
      <c r="J55" s="10">
        <v>0.9368945347735248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0.72423903228975717</v>
      </c>
      <c r="E56" s="8">
        <v>8.8932999999999998E-2</v>
      </c>
      <c r="F56" s="8">
        <v>0.56076763767872917</v>
      </c>
      <c r="G56" s="8">
        <v>-5.9866999999999997E-2</v>
      </c>
      <c r="H56" s="8">
        <v>-0.163471394611028</v>
      </c>
      <c r="I56" s="8">
        <v>-0.14879999999999999</v>
      </c>
      <c r="J56" s="8">
        <v>-1.467139461102801E-2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0.69600674034238086</v>
      </c>
      <c r="E57" s="10">
        <v>0.16705999999999999</v>
      </c>
      <c r="F57" s="10">
        <v>-0.30241080245507379</v>
      </c>
      <c r="G57" s="10">
        <v>6.4032000000000006E-2</v>
      </c>
      <c r="H57" s="10">
        <v>-0.99841754279745465</v>
      </c>
      <c r="I57" s="10">
        <v>-0.10302799999999998</v>
      </c>
      <c r="J57" s="10">
        <v>-0.89538954279745464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-0.23755250855537241</v>
      </c>
      <c r="E58" s="8">
        <v>2.3885E-2</v>
      </c>
      <c r="F58" s="8">
        <v>-7.1292184063410591E-2</v>
      </c>
      <c r="G58" s="8">
        <v>1.4027E-2</v>
      </c>
      <c r="H58" s="8">
        <v>0.16626032449196182</v>
      </c>
      <c r="I58" s="8">
        <v>-9.8580000000000004E-3</v>
      </c>
      <c r="J58" s="8">
        <v>0.17611832449196183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-0.97180020441243642</v>
      </c>
      <c r="E59" s="10">
        <v>-4.7580000000000001E-3</v>
      </c>
      <c r="F59" s="10">
        <v>-5.3039911415345559E-2</v>
      </c>
      <c r="G59" s="10">
        <v>2.1163999999999999E-2</v>
      </c>
      <c r="H59" s="10">
        <v>0.91876029299709083</v>
      </c>
      <c r="I59" s="10">
        <v>2.5922000000000001E-2</v>
      </c>
      <c r="J59" s="10">
        <v>0.89283829299709083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-0.77801995890600317</v>
      </c>
      <c r="E60" s="8">
        <v>3.1260000000000003E-2</v>
      </c>
      <c r="F60" s="8">
        <v>-0.18609703754129167</v>
      </c>
      <c r="G60" s="8">
        <v>-2.2945E-2</v>
      </c>
      <c r="H60" s="8">
        <v>0.59192292136471147</v>
      </c>
      <c r="I60" s="8">
        <v>-5.4205000000000003E-2</v>
      </c>
      <c r="J60" s="8">
        <v>0.64612792136471153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0.94739541792374116</v>
      </c>
      <c r="E61" s="10">
        <v>0.313056</v>
      </c>
      <c r="F61" s="10">
        <v>0.41932805943243262</v>
      </c>
      <c r="G61" s="10">
        <v>-0.25945200000000002</v>
      </c>
      <c r="H61" s="10">
        <v>-0.52806735849130848</v>
      </c>
      <c r="I61" s="10">
        <v>-0.57250800000000002</v>
      </c>
      <c r="J61" s="10">
        <v>4.4440641508691536E-2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0.96704169568119003</v>
      </c>
      <c r="E62" s="8">
        <v>9.4149999999999998E-2</v>
      </c>
      <c r="F62" s="8">
        <v>2.4446414535056237E-3</v>
      </c>
      <c r="G62" s="8">
        <v>7.3126999999999998E-2</v>
      </c>
      <c r="H62" s="8">
        <v>-0.96459705422768438</v>
      </c>
      <c r="I62" s="8">
        <v>-2.1023E-2</v>
      </c>
      <c r="J62" s="8">
        <v>-0.94357405422768437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4.2745248475903001E-3</v>
      </c>
      <c r="E63" s="10">
        <v>1.6372000000000001E-2</v>
      </c>
      <c r="F63" s="10">
        <v>0.34764048766402811</v>
      </c>
      <c r="G63" s="10">
        <v>0.111161</v>
      </c>
      <c r="H63" s="10">
        <v>0.34336596281643783</v>
      </c>
      <c r="I63" s="10">
        <v>9.4788999999999998E-2</v>
      </c>
      <c r="J63" s="10">
        <v>0.24857696281643782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1.1832642855023168</v>
      </c>
      <c r="E64" s="8">
        <v>0.33707300000000001</v>
      </c>
      <c r="F64" s="8">
        <v>0.41421379100795164</v>
      </c>
      <c r="G64" s="8">
        <v>3.6685000000000002E-2</v>
      </c>
      <c r="H64" s="8">
        <v>-0.76905049449436513</v>
      </c>
      <c r="I64" s="8">
        <v>-0.30038799999999999</v>
      </c>
      <c r="J64" s="8">
        <v>-0.46866249449436514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-6.52733520584627E-2</v>
      </c>
      <c r="E65" s="10">
        <v>0.2712</v>
      </c>
      <c r="F65" s="10">
        <v>0.17533511082568082</v>
      </c>
      <c r="G65" s="10">
        <v>9.7201999999999997E-2</v>
      </c>
      <c r="H65" s="10">
        <v>0.2406084628841435</v>
      </c>
      <c r="I65" s="10">
        <v>-0.17399799999999999</v>
      </c>
      <c r="J65" s="10">
        <v>0.41460646288414349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-6.4059923955670506E-2</v>
      </c>
      <c r="E66" s="8">
        <v>3.2065000000000003E-2</v>
      </c>
      <c r="F66" s="8">
        <v>0.23958271385987134</v>
      </c>
      <c r="G66" s="8">
        <v>3.5300000000000002E-3</v>
      </c>
      <c r="H66" s="8">
        <v>0.30364263781554185</v>
      </c>
      <c r="I66" s="8">
        <v>-2.8535000000000005E-2</v>
      </c>
      <c r="J66" s="8">
        <v>0.33217763781554188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0.47885339315838221</v>
      </c>
      <c r="E67" s="10">
        <v>0.24563599999999999</v>
      </c>
      <c r="F67" s="10">
        <v>9.7223608128941902E-2</v>
      </c>
      <c r="G67" s="10">
        <v>7.9916000000000001E-2</v>
      </c>
      <c r="H67" s="10">
        <v>-0.38162978502944034</v>
      </c>
      <c r="I67" s="10">
        <v>-0.16571999999999998</v>
      </c>
      <c r="J67" s="10">
        <v>-0.21590978502944036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-0.21823354708832951</v>
      </c>
      <c r="E68" s="8">
        <v>8.1313999999999997E-2</v>
      </c>
      <c r="F68" s="8">
        <v>0.70480944533617684</v>
      </c>
      <c r="G68" s="8">
        <v>0.14954899999999999</v>
      </c>
      <c r="H68" s="8">
        <v>0.92304299242450638</v>
      </c>
      <c r="I68" s="8">
        <v>6.823499999999999E-2</v>
      </c>
      <c r="J68" s="8">
        <v>0.85480799242450645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0.4702571455224015</v>
      </c>
      <c r="E69" s="10">
        <v>-8.2865999999999995E-2</v>
      </c>
      <c r="F69" s="10">
        <v>0.68069816770409897</v>
      </c>
      <c r="G69" s="10">
        <v>4.7937E-2</v>
      </c>
      <c r="H69" s="10">
        <v>0.21044102218169747</v>
      </c>
      <c r="I69" s="10">
        <v>0.130803</v>
      </c>
      <c r="J69" s="10">
        <v>7.9638022181697465E-2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0.51854315803326645</v>
      </c>
      <c r="E70" s="8">
        <v>-0.168438</v>
      </c>
      <c r="F70" s="8">
        <v>1.1503265313847144</v>
      </c>
      <c r="G70" s="8">
        <v>0.142877</v>
      </c>
      <c r="H70" s="8">
        <v>0.63178337335144796</v>
      </c>
      <c r="I70" s="8">
        <v>0.31131500000000001</v>
      </c>
      <c r="J70" s="8">
        <v>0.32046837335144795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-0.1121967065322108</v>
      </c>
      <c r="E71" s="10">
        <v>6.3566999999999999E-2</v>
      </c>
      <c r="F71" s="10">
        <v>0.15938670717019482</v>
      </c>
      <c r="G71" s="10">
        <v>3.7657999999999997E-2</v>
      </c>
      <c r="H71" s="10">
        <v>0.27158341370240563</v>
      </c>
      <c r="I71" s="10">
        <v>-2.5909000000000001E-2</v>
      </c>
      <c r="J71" s="10">
        <v>0.29749241370240564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1.47847596044322E-2</v>
      </c>
      <c r="E72" s="8">
        <v>2.8622000000000002E-2</v>
      </c>
      <c r="F72" s="8">
        <v>0.46818590239064067</v>
      </c>
      <c r="G72" s="8">
        <v>5.9489E-2</v>
      </c>
      <c r="H72" s="8">
        <v>0.45340114278620847</v>
      </c>
      <c r="I72" s="8">
        <v>3.0866999999999999E-2</v>
      </c>
      <c r="J72" s="8">
        <v>0.42253414278620849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1.6664261136982272</v>
      </c>
      <c r="E73" s="10">
        <v>0.35854399999999997</v>
      </c>
      <c r="F73" s="10">
        <v>0.73119224756605938</v>
      </c>
      <c r="G73" s="10">
        <v>0.14568600000000001</v>
      </c>
      <c r="H73" s="10">
        <v>-0.93523386613216786</v>
      </c>
      <c r="I73" s="10">
        <v>-0.21285799999999996</v>
      </c>
      <c r="J73" s="10">
        <v>-0.72237586613216787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1.5894313676425176</v>
      </c>
      <c r="E74" s="8">
        <v>0.22115000000000001</v>
      </c>
      <c r="F74" s="8">
        <v>0.10777027278873659</v>
      </c>
      <c r="G74" s="8">
        <v>-0.16395299999999999</v>
      </c>
      <c r="H74" s="8">
        <v>-1.4816610948537809</v>
      </c>
      <c r="I74" s="8">
        <v>-0.38510299999999997</v>
      </c>
      <c r="J74" s="8">
        <v>-1.096558094853781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1.7351804134383759</v>
      </c>
      <c r="E75" s="10">
        <v>0.223581</v>
      </c>
      <c r="F75" s="10">
        <v>0.59394535727965581</v>
      </c>
      <c r="G75" s="10">
        <v>6.0359000000000003E-2</v>
      </c>
      <c r="H75" s="10">
        <v>-1.1412350561587201</v>
      </c>
      <c r="I75" s="10">
        <v>-0.16322200000000001</v>
      </c>
      <c r="J75" s="10">
        <v>-0.97801305615872014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-0.81001146518983769</v>
      </c>
      <c r="E76" s="8">
        <v>0.11131199999999999</v>
      </c>
      <c r="F76" s="8">
        <v>-0.47293696936396806</v>
      </c>
      <c r="G76" s="8">
        <v>-1.8539E-2</v>
      </c>
      <c r="H76" s="8">
        <v>0.33707449582586962</v>
      </c>
      <c r="I76" s="8">
        <v>-0.12985099999999999</v>
      </c>
      <c r="J76" s="8">
        <v>0.46692549582586962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-0.3260180698644416</v>
      </c>
      <c r="E77" s="10">
        <v>-2.4718E-2</v>
      </c>
      <c r="F77" s="10">
        <v>-0.23760699599288779</v>
      </c>
      <c r="G77" s="10">
        <v>-5.2999999999999998E-4</v>
      </c>
      <c r="H77" s="10">
        <v>8.8411073871553808E-2</v>
      </c>
      <c r="I77" s="10">
        <v>2.4188000000000001E-2</v>
      </c>
      <c r="J77" s="10">
        <v>6.4223073871553807E-2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1.5275823956683865</v>
      </c>
      <c r="E78" s="8">
        <v>0.25606000000000001</v>
      </c>
      <c r="F78" s="8">
        <v>0.16091458901941388</v>
      </c>
      <c r="G78" s="8">
        <v>-0.10309599999999999</v>
      </c>
      <c r="H78" s="8">
        <v>-1.3666678066489726</v>
      </c>
      <c r="I78" s="8">
        <v>-0.35915600000000003</v>
      </c>
      <c r="J78" s="8">
        <v>-1.0075118066489726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0.48750266443725659</v>
      </c>
      <c r="E79" s="10">
        <v>4.3750000000000004E-3</v>
      </c>
      <c r="F79" s="10">
        <v>0.73993595140411084</v>
      </c>
      <c r="G79" s="10">
        <v>-7.4530000000000004E-3</v>
      </c>
      <c r="H79" s="10">
        <v>0.25243328696685424</v>
      </c>
      <c r="I79" s="10">
        <v>-1.1828000000000002E-2</v>
      </c>
      <c r="J79" s="10">
        <v>0.26426128696685425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-0.1864863429038961</v>
      </c>
      <c r="E80" s="8">
        <v>-5.7009999999999998E-2</v>
      </c>
      <c r="F80" s="8">
        <v>6.3590490196556673E-2</v>
      </c>
      <c r="G80" s="8">
        <v>7.9455999999999999E-2</v>
      </c>
      <c r="H80" s="8">
        <v>0.25007683310045276</v>
      </c>
      <c r="I80" s="8">
        <v>0.136466</v>
      </c>
      <c r="J80" s="8">
        <v>0.11361083310045275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0.86987396872839018</v>
      </c>
      <c r="E81" s="10">
        <v>0.17669499999999999</v>
      </c>
      <c r="F81" s="10">
        <v>0.48881806671205452</v>
      </c>
      <c r="G81" s="10">
        <v>-1.6920000000000001E-2</v>
      </c>
      <c r="H81" s="10">
        <v>-0.38105590201633566</v>
      </c>
      <c r="I81" s="10">
        <v>-0.19361499999999998</v>
      </c>
      <c r="J81" s="10">
        <v>-0.18744090201633568</v>
      </c>
      <c r="K81" s="11" t="b">
        <v>1</v>
      </c>
    </row>
    <row r="83" spans="1:11" x14ac:dyDescent="0.25">
      <c r="C83" t="s">
        <v>52</v>
      </c>
      <c r="D83">
        <f>MIN(D44:D81)</f>
        <v>-0.97180020441243642</v>
      </c>
      <c r="E83">
        <f t="shared" ref="E83:J83" si="0">MIN(E44:E81)</f>
        <v>-0.168438</v>
      </c>
      <c r="F83">
        <f t="shared" si="0"/>
        <v>-0.76162300703885155</v>
      </c>
      <c r="G83">
        <f t="shared" si="0"/>
        <v>-0.25957200000000002</v>
      </c>
      <c r="H83">
        <f t="shared" si="0"/>
        <v>-1.4816610948537809</v>
      </c>
      <c r="I83">
        <f t="shared" si="0"/>
        <v>-0.57250800000000002</v>
      </c>
      <c r="J83">
        <f t="shared" si="0"/>
        <v>-1.096558094853781</v>
      </c>
    </row>
    <row r="84" spans="1:11" x14ac:dyDescent="0.25">
      <c r="C84" t="s">
        <v>53</v>
      </c>
      <c r="D84">
        <f>MAX(D44:D81)</f>
        <v>1.7351804134383759</v>
      </c>
      <c r="E84">
        <f t="shared" ref="E84:J84" si="1">MAX(E44:E81)</f>
        <v>0.35854399999999997</v>
      </c>
      <c r="F84">
        <f t="shared" si="1"/>
        <v>1.1503265313847144</v>
      </c>
      <c r="G84">
        <f t="shared" si="1"/>
        <v>0.217226</v>
      </c>
      <c r="H84">
        <f t="shared" si="1"/>
        <v>0.92304299242450638</v>
      </c>
      <c r="I84">
        <f t="shared" si="1"/>
        <v>0.31131500000000001</v>
      </c>
      <c r="J84">
        <f t="shared" si="1"/>
        <v>0.9368945347735248</v>
      </c>
    </row>
    <row r="85" spans="1:11" x14ac:dyDescent="0.25">
      <c r="C85" t="s">
        <v>54</v>
      </c>
      <c r="D85">
        <f>D84-D83</f>
        <v>2.7069806178508125</v>
      </c>
      <c r="E85">
        <f t="shared" ref="E85:J85" si="2">E84-E83</f>
        <v>0.52698199999999995</v>
      </c>
      <c r="F85">
        <f t="shared" si="2"/>
        <v>1.9119495384235661</v>
      </c>
      <c r="G85">
        <f t="shared" si="2"/>
        <v>0.47679800000000006</v>
      </c>
      <c r="H85">
        <f t="shared" si="2"/>
        <v>2.4047040872782874</v>
      </c>
      <c r="I85">
        <f t="shared" si="2"/>
        <v>0.88382300000000003</v>
      </c>
      <c r="J85">
        <f t="shared" si="2"/>
        <v>2.0334526296273059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0.19557404048001198</v>
      </c>
      <c r="E89">
        <f t="shared" ref="E89:J89" si="3">(E44-E$83)/E$85</f>
        <v>0.32681192146980359</v>
      </c>
      <c r="F89">
        <f t="shared" si="3"/>
        <v>0</v>
      </c>
      <c r="G89">
        <f t="shared" si="3"/>
        <v>0.57748774113985368</v>
      </c>
      <c r="H89">
        <f t="shared" si="3"/>
        <v>0.48339550859618108</v>
      </c>
      <c r="I89">
        <f t="shared" si="3"/>
        <v>0.66132585370600216</v>
      </c>
      <c r="J89">
        <f t="shared" si="3"/>
        <v>0.37637127324351516</v>
      </c>
    </row>
    <row r="90" spans="1:11" x14ac:dyDescent="0.25">
      <c r="C90" s="18" t="s">
        <v>13</v>
      </c>
      <c r="D90">
        <f t="shared" ref="D90:J90" si="4">(D45-D$83)/D$85</f>
        <v>0.34968961783642871</v>
      </c>
      <c r="E90">
        <f t="shared" si="4"/>
        <v>0.4026418359640368</v>
      </c>
      <c r="F90">
        <f t="shared" si="4"/>
        <v>0.36470856460400003</v>
      </c>
      <c r="G90">
        <f t="shared" si="4"/>
        <v>0.62798921136414165</v>
      </c>
      <c r="H90">
        <f t="shared" si="4"/>
        <v>0.59988239462217663</v>
      </c>
      <c r="I90">
        <f t="shared" si="4"/>
        <v>0.64335619235978247</v>
      </c>
      <c r="J90">
        <f t="shared" si="4"/>
        <v>0.52193576126174979</v>
      </c>
    </row>
    <row r="91" spans="1:11" x14ac:dyDescent="0.25">
      <c r="C91" s="16" t="s">
        <v>14</v>
      </c>
      <c r="D91">
        <f t="shared" ref="D91:J91" si="5">(D46-D$83)/D$85</f>
        <v>0.22834165683811983</v>
      </c>
      <c r="E91">
        <f t="shared" si="5"/>
        <v>0.503516249131849</v>
      </c>
      <c r="F91">
        <f t="shared" si="5"/>
        <v>0.56651460241345308</v>
      </c>
      <c r="G91">
        <f t="shared" si="5"/>
        <v>0.57026665380307806</v>
      </c>
      <c r="H91">
        <f t="shared" si="5"/>
        <v>0.89693746391659002</v>
      </c>
      <c r="I91">
        <f t="shared" si="5"/>
        <v>0.5520698148837494</v>
      </c>
      <c r="J91">
        <f t="shared" si="5"/>
        <v>0.91290161298396144</v>
      </c>
    </row>
    <row r="92" spans="1:11" x14ac:dyDescent="0.25">
      <c r="C92" s="18" t="s">
        <v>15</v>
      </c>
      <c r="D92">
        <f t="shared" ref="D92:J92" si="6">(D47-D$83)/D$85</f>
        <v>0.14242283730986932</v>
      </c>
      <c r="E92">
        <f t="shared" si="6"/>
        <v>0.4238114394799064</v>
      </c>
      <c r="F92">
        <f t="shared" si="6"/>
        <v>0.35526087769108056</v>
      </c>
      <c r="G92">
        <f t="shared" si="6"/>
        <v>0.27802759239761909</v>
      </c>
      <c r="H92">
        <f t="shared" si="6"/>
        <v>0.82569132464815531</v>
      </c>
      <c r="I92">
        <f t="shared" si="6"/>
        <v>0.44193916655257898</v>
      </c>
      <c r="J92">
        <f t="shared" si="6"/>
        <v>0.87651528107557375</v>
      </c>
    </row>
    <row r="93" spans="1:11" x14ac:dyDescent="0.25">
      <c r="C93" s="16" t="s">
        <v>16</v>
      </c>
      <c r="D93">
        <f t="shared" ref="D93:J93" si="7">(D48-D$83)/D$85</f>
        <v>0.4469253679715674</v>
      </c>
      <c r="E93">
        <f t="shared" si="7"/>
        <v>0.40744845174977523</v>
      </c>
      <c r="F93">
        <f t="shared" si="7"/>
        <v>0.41540530407383935</v>
      </c>
      <c r="G93">
        <f t="shared" si="7"/>
        <v>0.54334539993875808</v>
      </c>
      <c r="H93">
        <f t="shared" si="7"/>
        <v>0.53073223006397818</v>
      </c>
      <c r="I93">
        <f t="shared" si="7"/>
        <v>0.59482724482164417</v>
      </c>
      <c r="J93">
        <f t="shared" si="7"/>
        <v>0.46125341167011857</v>
      </c>
    </row>
    <row r="94" spans="1:11" x14ac:dyDescent="0.25">
      <c r="C94" s="18" t="s">
        <v>17</v>
      </c>
      <c r="D94">
        <f t="shared" ref="D94:J94" si="8">(D49-D$83)/D$85</f>
        <v>0.59268950829972233</v>
      </c>
      <c r="E94">
        <f t="shared" si="8"/>
        <v>0.65278130941853807</v>
      </c>
      <c r="F94">
        <f t="shared" si="8"/>
        <v>0.52734751530094526</v>
      </c>
      <c r="G94">
        <f t="shared" si="8"/>
        <v>0.62043464947420079</v>
      </c>
      <c r="H94">
        <f t="shared" si="8"/>
        <v>0.45564904435501319</v>
      </c>
      <c r="I94">
        <f t="shared" si="8"/>
        <v>0.49013433685251462</v>
      </c>
      <c r="J94">
        <f t="shared" si="8"/>
        <v>0.41796602829185137</v>
      </c>
    </row>
    <row r="95" spans="1:11" x14ac:dyDescent="0.25">
      <c r="C95" s="16" t="s">
        <v>18</v>
      </c>
      <c r="D95">
        <f t="shared" ref="D95:J95" si="9">(D50-D$83)/D$85</f>
        <v>0.54913215453904596</v>
      </c>
      <c r="E95">
        <f t="shared" si="9"/>
        <v>0.58387573010083837</v>
      </c>
      <c r="F95">
        <f t="shared" si="9"/>
        <v>0.61387681206749856</v>
      </c>
      <c r="G95">
        <f t="shared" si="9"/>
        <v>1</v>
      </c>
      <c r="H95">
        <f t="shared" si="9"/>
        <v>0.57347999199924138</v>
      </c>
      <c r="I95">
        <f t="shared" si="9"/>
        <v>0.73598446747821689</v>
      </c>
      <c r="J95">
        <f t="shared" si="9"/>
        <v>0.4504529229681522</v>
      </c>
    </row>
    <row r="96" spans="1:11" x14ac:dyDescent="0.25">
      <c r="C96" s="18" t="s">
        <v>19</v>
      </c>
      <c r="D96">
        <f t="shared" ref="D96:J96" si="10">(D51-D$83)/D$85</f>
        <v>0.42756934842538674</v>
      </c>
      <c r="E96">
        <f t="shared" si="10"/>
        <v>0.69832555950677644</v>
      </c>
      <c r="F96">
        <f t="shared" si="10"/>
        <v>0.61134081725452416</v>
      </c>
      <c r="G96">
        <f t="shared" si="10"/>
        <v>0</v>
      </c>
      <c r="H96">
        <f t="shared" si="10"/>
        <v>0.7083071699478104</v>
      </c>
      <c r="I96">
        <f t="shared" si="10"/>
        <v>0.1282711583654193</v>
      </c>
      <c r="J96">
        <f t="shared" si="10"/>
        <v>0.87403321854011595</v>
      </c>
    </row>
    <row r="97" spans="3:10" x14ac:dyDescent="0.25">
      <c r="C97" s="16" t="s">
        <v>20</v>
      </c>
      <c r="D97">
        <f t="shared" ref="D97:J97" si="11">(D52-D$83)/D$85</f>
        <v>0.10888279375999824</v>
      </c>
      <c r="E97">
        <f t="shared" si="11"/>
        <v>0.37894463188496008</v>
      </c>
      <c r="F97">
        <f t="shared" si="11"/>
        <v>0.42689712180160305</v>
      </c>
      <c r="G97">
        <f t="shared" si="11"/>
        <v>0.69617322220311317</v>
      </c>
      <c r="H97">
        <f t="shared" si="11"/>
        <v>0.92040448826683008</v>
      </c>
      <c r="I97">
        <f t="shared" si="11"/>
        <v>0.69426910139247333</v>
      </c>
      <c r="J97">
        <f t="shared" si="11"/>
        <v>0.87884734015764521</v>
      </c>
    </row>
    <row r="98" spans="3:10" x14ac:dyDescent="0.25">
      <c r="C98" s="18" t="s">
        <v>21</v>
      </c>
      <c r="D98">
        <f t="shared" ref="D98:J98" si="12">(D53-D$83)/D$85</f>
        <v>0.27681150995171355</v>
      </c>
      <c r="E98">
        <f t="shared" si="12"/>
        <v>0.65298435240672359</v>
      </c>
      <c r="F98">
        <f t="shared" si="12"/>
        <v>0.25749764632430922</v>
      </c>
      <c r="G98">
        <f t="shared" si="12"/>
        <v>0.89086153884873676</v>
      </c>
      <c r="H98">
        <f t="shared" si="12"/>
        <v>0.59667940584280676</v>
      </c>
      <c r="I98">
        <f t="shared" si="12"/>
        <v>0.63590107974107946</v>
      </c>
      <c r="J98">
        <f t="shared" si="12"/>
        <v>0.52138829819669619</v>
      </c>
    </row>
    <row r="99" spans="3:10" x14ac:dyDescent="0.25">
      <c r="C99" s="16" t="s">
        <v>22</v>
      </c>
      <c r="D99">
        <f t="shared" ref="D99:J99" si="13">(D54-D$83)/D$85</f>
        <v>0.3370144960575977</v>
      </c>
      <c r="E99">
        <f t="shared" si="13"/>
        <v>0.28969490419027599</v>
      </c>
      <c r="F99">
        <f t="shared" si="13"/>
        <v>0.403993978255485</v>
      </c>
      <c r="G99">
        <f t="shared" si="13"/>
        <v>0.82903661508647264</v>
      </c>
      <c r="H99">
        <f t="shared" si="13"/>
        <v>0.64538613791467381</v>
      </c>
      <c r="I99">
        <f t="shared" si="13"/>
        <v>0.8191606237900575</v>
      </c>
      <c r="J99">
        <f t="shared" si="13"/>
        <v>0.49933530239269153</v>
      </c>
    </row>
    <row r="100" spans="3:10" x14ac:dyDescent="0.25">
      <c r="C100" s="18" t="s">
        <v>23</v>
      </c>
      <c r="D100">
        <f t="shared" ref="D100:J100" si="14">(D55-D$83)/D$85</f>
        <v>0.1278902104218958</v>
      </c>
      <c r="E100">
        <f t="shared" si="14"/>
        <v>0.26977012497580566</v>
      </c>
      <c r="F100">
        <f t="shared" si="14"/>
        <v>0.48877527332410448</v>
      </c>
      <c r="G100">
        <f t="shared" si="14"/>
        <v>0.19903187513370449</v>
      </c>
      <c r="H100">
        <f t="shared" si="14"/>
        <v>0.94820632679509875</v>
      </c>
      <c r="I100">
        <f t="shared" si="14"/>
        <v>0.49117074346334055</v>
      </c>
      <c r="J100">
        <f t="shared" si="14"/>
        <v>1</v>
      </c>
    </row>
    <row r="101" spans="3:10" x14ac:dyDescent="0.25">
      <c r="C101" s="16" t="s">
        <v>24</v>
      </c>
      <c r="D101">
        <f t="shared" ref="D101:J101" si="15">(D56-D$83)/D$85</f>
        <v>0.62654280770164938</v>
      </c>
      <c r="E101">
        <f t="shared" si="15"/>
        <v>0.48838670011499452</v>
      </c>
      <c r="F101">
        <f t="shared" si="15"/>
        <v>0.69164516015831334</v>
      </c>
      <c r="G101">
        <f t="shared" si="15"/>
        <v>0.41884613609956417</v>
      </c>
      <c r="H101">
        <f t="shared" si="15"/>
        <v>0.54817127280501177</v>
      </c>
      <c r="I101">
        <f t="shared" si="15"/>
        <v>0.47940368150636498</v>
      </c>
      <c r="J101">
        <f t="shared" si="15"/>
        <v>0.53204421115088518</v>
      </c>
    </row>
    <row r="102" spans="3:10" x14ac:dyDescent="0.25">
      <c r="C102" s="18" t="s">
        <v>25</v>
      </c>
      <c r="D102">
        <f t="shared" ref="D102:J102" si="16">(D57-D$83)/D$85</f>
        <v>0.61611336769709135</v>
      </c>
      <c r="E102">
        <f t="shared" si="16"/>
        <v>0.63664034065679664</v>
      </c>
      <c r="F102">
        <f t="shared" si="16"/>
        <v>0.24018008600917667</v>
      </c>
      <c r="G102">
        <f t="shared" si="16"/>
        <v>0.67870251133603743</v>
      </c>
      <c r="H102">
        <f t="shared" si="16"/>
        <v>0.20095759582763262</v>
      </c>
      <c r="I102">
        <f t="shared" si="16"/>
        <v>0.53119233149623846</v>
      </c>
      <c r="J102">
        <f t="shared" si="16"/>
        <v>9.8929549243149464E-2</v>
      </c>
    </row>
    <row r="103" spans="3:10" x14ac:dyDescent="0.25">
      <c r="C103" s="16" t="s">
        <v>26</v>
      </c>
      <c r="D103">
        <f t="shared" ref="D103:J103" si="17">(D58-D$83)/D$85</f>
        <v>0.27124231736835069</v>
      </c>
      <c r="E103">
        <f t="shared" si="17"/>
        <v>0.3649517440823406</v>
      </c>
      <c r="F103">
        <f t="shared" si="17"/>
        <v>0.36106121479787073</v>
      </c>
      <c r="G103">
        <f t="shared" si="17"/>
        <v>0.57382581302773927</v>
      </c>
      <c r="H103">
        <f t="shared" si="17"/>
        <v>0.68529072997539053</v>
      </c>
      <c r="I103">
        <f t="shared" si="17"/>
        <v>0.63660936635502807</v>
      </c>
      <c r="J103">
        <f t="shared" si="17"/>
        <v>0.62586971577449568</v>
      </c>
    </row>
    <row r="104" spans="3:10" x14ac:dyDescent="0.25">
      <c r="C104" s="18" t="s">
        <v>27</v>
      </c>
      <c r="D104">
        <f t="shared" ref="D104:J104" si="18">(D59-D$83)/D$85</f>
        <v>0</v>
      </c>
      <c r="E104">
        <f t="shared" si="18"/>
        <v>0.31059884398328597</v>
      </c>
      <c r="F104">
        <f t="shared" si="18"/>
        <v>0.3706076344503027</v>
      </c>
      <c r="G104">
        <f t="shared" si="18"/>
        <v>0.5887944160839601</v>
      </c>
      <c r="H104">
        <f t="shared" si="18"/>
        <v>0.99821903266598477</v>
      </c>
      <c r="I104">
        <f t="shared" si="18"/>
        <v>0.67709258528008431</v>
      </c>
      <c r="J104">
        <f t="shared" si="18"/>
        <v>0.97833426698289561</v>
      </c>
    </row>
    <row r="105" spans="3:10" x14ac:dyDescent="0.25">
      <c r="C105" s="16" t="s">
        <v>28</v>
      </c>
      <c r="D105">
        <f t="shared" ref="D105:J105" si="19">(D60-D$83)/D$85</f>
        <v>7.1585383444778286E-2</v>
      </c>
      <c r="E105">
        <f t="shared" si="19"/>
        <v>0.37894652948298052</v>
      </c>
      <c r="F105">
        <f t="shared" si="19"/>
        <v>0.30101525062847134</v>
      </c>
      <c r="G105">
        <f t="shared" si="19"/>
        <v>0.49628354145780812</v>
      </c>
      <c r="H105">
        <f t="shared" si="19"/>
        <v>0.86230319447139714</v>
      </c>
      <c r="I105">
        <f t="shared" si="19"/>
        <v>0.58643303014291315</v>
      </c>
      <c r="J105">
        <f t="shared" si="19"/>
        <v>0.85700841555276086</v>
      </c>
    </row>
    <row r="106" spans="3:10" x14ac:dyDescent="0.25">
      <c r="C106" s="18" t="s">
        <v>29</v>
      </c>
      <c r="D106">
        <f t="shared" ref="D106:J106" si="20">(D61-D$83)/D$85</f>
        <v>0.70898018614551772</v>
      </c>
      <c r="E106">
        <f t="shared" si="20"/>
        <v>0.91368206124687379</v>
      </c>
      <c r="F106">
        <f t="shared" si="20"/>
        <v>0.61766853294935686</v>
      </c>
      <c r="G106">
        <f t="shared" si="20"/>
        <v>2.5167890804912978E-4</v>
      </c>
      <c r="H106">
        <f t="shared" si="20"/>
        <v>0.39655346427334309</v>
      </c>
      <c r="I106">
        <f t="shared" si="20"/>
        <v>0</v>
      </c>
      <c r="J106">
        <f t="shared" si="20"/>
        <v>0.56111399879110846</v>
      </c>
    </row>
    <row r="107" spans="3:10" x14ac:dyDescent="0.25">
      <c r="C107" s="16" t="s">
        <v>30</v>
      </c>
      <c r="D107">
        <f t="shared" ref="D107:J107" si="21">(D62-D$83)/D$85</f>
        <v>0.71623782132321134</v>
      </c>
      <c r="E107">
        <f t="shared" si="21"/>
        <v>0.49828646898755558</v>
      </c>
      <c r="F107">
        <f t="shared" si="21"/>
        <v>0.39962751795339935</v>
      </c>
      <c r="G107">
        <f t="shared" si="21"/>
        <v>0.69777767524192635</v>
      </c>
      <c r="H107">
        <f t="shared" si="21"/>
        <v>0.2150218995183413</v>
      </c>
      <c r="I107">
        <f t="shared" si="21"/>
        <v>0.62397674647525581</v>
      </c>
      <c r="J107">
        <f t="shared" si="21"/>
        <v>7.523363878613476E-2</v>
      </c>
    </row>
    <row r="108" spans="3:10" x14ac:dyDescent="0.25">
      <c r="C108" s="18" t="s">
        <v>31</v>
      </c>
      <c r="D108">
        <f t="shared" ref="D108:J108" si="22">(D63-D$83)/D$85</f>
        <v>0.36057691836558997</v>
      </c>
      <c r="E108">
        <f t="shared" si="22"/>
        <v>0.35069509015488198</v>
      </c>
      <c r="F108">
        <f t="shared" si="22"/>
        <v>0.58017404351449864</v>
      </c>
      <c r="G108">
        <f t="shared" si="22"/>
        <v>0.77754730514809201</v>
      </c>
      <c r="H108">
        <f t="shared" si="22"/>
        <v>0.75894038993206703</v>
      </c>
      <c r="I108">
        <f t="shared" si="22"/>
        <v>0.75501203295229924</v>
      </c>
      <c r="J108">
        <f t="shared" si="22"/>
        <v>0.66150302105476488</v>
      </c>
    </row>
    <row r="109" spans="3:10" x14ac:dyDescent="0.25">
      <c r="C109" s="16" t="s">
        <v>32</v>
      </c>
      <c r="D109">
        <f t="shared" ref="D109:J109" si="23">(D64-D$83)/D$85</f>
        <v>0.7961137496528331</v>
      </c>
      <c r="E109">
        <f t="shared" si="23"/>
        <v>0.95925667290343897</v>
      </c>
      <c r="F109">
        <f t="shared" si="23"/>
        <v>0.61499363577152777</v>
      </c>
      <c r="G109">
        <f t="shared" si="23"/>
        <v>0.62134698551587886</v>
      </c>
      <c r="H109">
        <f t="shared" si="23"/>
        <v>0.29634024582457824</v>
      </c>
      <c r="I109">
        <f t="shared" si="23"/>
        <v>0.30788970189732562</v>
      </c>
      <c r="J109">
        <f t="shared" si="23"/>
        <v>0.30878299853707308</v>
      </c>
    </row>
    <row r="110" spans="3:10" x14ac:dyDescent="0.25">
      <c r="C110" s="18" t="s">
        <v>33</v>
      </c>
      <c r="D110">
        <f t="shared" ref="D110:J110" si="24">(D65-D$83)/D$85</f>
        <v>0.33488487001938866</v>
      </c>
      <c r="E110">
        <f t="shared" si="24"/>
        <v>0.83425619850393373</v>
      </c>
      <c r="F110">
        <f t="shared" si="24"/>
        <v>0.49005379014190392</v>
      </c>
      <c r="G110">
        <f t="shared" si="24"/>
        <v>0.74827075616927918</v>
      </c>
      <c r="H110">
        <f t="shared" si="24"/>
        <v>0.71620852097741405</v>
      </c>
      <c r="I110">
        <f t="shared" si="24"/>
        <v>0.45089344812253135</v>
      </c>
      <c r="J110">
        <f t="shared" si="24"/>
        <v>0.74315208317141512</v>
      </c>
    </row>
    <row r="111" spans="3:10" x14ac:dyDescent="0.25">
      <c r="C111" s="16" t="s">
        <v>34</v>
      </c>
      <c r="D111">
        <f t="shared" ref="D111:J111" si="25">(D66-D$83)/D$85</f>
        <v>0.33533312890044248</v>
      </c>
      <c r="E111">
        <f t="shared" si="25"/>
        <v>0.38047409588942321</v>
      </c>
      <c r="F111">
        <f t="shared" si="25"/>
        <v>0.52365697984070936</v>
      </c>
      <c r="G111">
        <f t="shared" si="25"/>
        <v>0.55181020054614316</v>
      </c>
      <c r="H111">
        <f t="shared" si="25"/>
        <v>0.74242138237057698</v>
      </c>
      <c r="I111">
        <f t="shared" si="25"/>
        <v>0.61547730710787119</v>
      </c>
      <c r="J111">
        <f t="shared" si="25"/>
        <v>0.70261569502663246</v>
      </c>
    </row>
    <row r="112" spans="3:10" x14ac:dyDescent="0.25">
      <c r="C112" s="18" t="s">
        <v>35</v>
      </c>
      <c r="D112">
        <f t="shared" ref="D112:J112" si="26">(D67-D$83)/D$85</f>
        <v>0.5358936033766486</v>
      </c>
      <c r="E112">
        <f t="shared" si="26"/>
        <v>0.78574600270977002</v>
      </c>
      <c r="F112">
        <f t="shared" si="26"/>
        <v>0.4491994155221935</v>
      </c>
      <c r="G112">
        <f t="shared" si="26"/>
        <v>0.71201640946480471</v>
      </c>
      <c r="H112">
        <f t="shared" si="26"/>
        <v>0.45744976092646283</v>
      </c>
      <c r="I112">
        <f t="shared" si="26"/>
        <v>0.46025957686097785</v>
      </c>
      <c r="J112">
        <f t="shared" si="26"/>
        <v>0.43308031718729889</v>
      </c>
    </row>
    <row r="113" spans="3:10" x14ac:dyDescent="0.25">
      <c r="C113" s="16" t="s">
        <v>36</v>
      </c>
      <c r="D113">
        <f t="shared" ref="D113:J113" si="27">(D68-D$83)/D$85</f>
        <v>0.27837903690732579</v>
      </c>
      <c r="E113">
        <f t="shared" si="27"/>
        <v>0.47392890079737071</v>
      </c>
      <c r="F113">
        <f t="shared" si="27"/>
        <v>0.76698282193374523</v>
      </c>
      <c r="G113">
        <f t="shared" si="27"/>
        <v>0.85805938783300262</v>
      </c>
      <c r="H113">
        <f t="shared" si="27"/>
        <v>1</v>
      </c>
      <c r="I113">
        <f t="shared" si="27"/>
        <v>0.72496755572099847</v>
      </c>
      <c r="J113">
        <f t="shared" si="27"/>
        <v>0.95963193774321487</v>
      </c>
    </row>
    <row r="114" spans="3:10" x14ac:dyDescent="0.25">
      <c r="C114" s="18" t="s">
        <v>37</v>
      </c>
      <c r="D114">
        <f t="shared" ref="D114:J114" si="28">(D69-D$83)/D$85</f>
        <v>0.5327180181584561</v>
      </c>
      <c r="E114">
        <f t="shared" si="28"/>
        <v>0.16238125780387189</v>
      </c>
      <c r="F114">
        <f t="shared" si="28"/>
        <v>0.75437198825454788</v>
      </c>
      <c r="G114">
        <f t="shared" si="28"/>
        <v>0.64494607779395052</v>
      </c>
      <c r="H114">
        <f t="shared" si="28"/>
        <v>0.70366334302306932</v>
      </c>
      <c r="I114">
        <f t="shared" si="28"/>
        <v>0.79576001077138747</v>
      </c>
      <c r="J114">
        <f t="shared" si="28"/>
        <v>0.57842317047289826</v>
      </c>
    </row>
    <row r="115" spans="3:10" x14ac:dyDescent="0.25">
      <c r="C115" s="16" t="s">
        <v>38</v>
      </c>
      <c r="D115">
        <f t="shared" ref="D115:J115" si="29">(D70-D$83)/D$85</f>
        <v>0.55055560893854871</v>
      </c>
      <c r="E115">
        <f t="shared" si="29"/>
        <v>0</v>
      </c>
      <c r="F115">
        <f t="shared" si="29"/>
        <v>1</v>
      </c>
      <c r="G115">
        <f t="shared" si="29"/>
        <v>0.84406604054547207</v>
      </c>
      <c r="H115">
        <f t="shared" si="29"/>
        <v>0.87887922650694428</v>
      </c>
      <c r="I115">
        <f t="shared" si="29"/>
        <v>1</v>
      </c>
      <c r="J115">
        <f t="shared" si="29"/>
        <v>0.69685737821438387</v>
      </c>
    </row>
    <row r="116" spans="3:10" x14ac:dyDescent="0.25">
      <c r="C116" s="18" t="s">
        <v>39</v>
      </c>
      <c r="D116">
        <f t="shared" ref="D116:J116" si="30">(D71-D$83)/D$85</f>
        <v>0.31755066593816306</v>
      </c>
      <c r="E116">
        <f t="shared" si="30"/>
        <v>0.44025222872887504</v>
      </c>
      <c r="F116">
        <f t="shared" si="30"/>
        <v>0.48171235469343715</v>
      </c>
      <c r="G116">
        <f t="shared" si="30"/>
        <v>0.62338768199531025</v>
      </c>
      <c r="H116">
        <f t="shared" si="30"/>
        <v>0.72908950329125888</v>
      </c>
      <c r="I116">
        <f t="shared" si="30"/>
        <v>0.61844849025200754</v>
      </c>
      <c r="J116">
        <f t="shared" si="30"/>
        <v>0.68555838884316178</v>
      </c>
    </row>
    <row r="117" spans="3:10" x14ac:dyDescent="0.25">
      <c r="C117" s="16" t="s">
        <v>41</v>
      </c>
      <c r="D117">
        <f t="shared" ref="D117:J117" si="31">(D72-D$83)/D$85</f>
        <v>0.36445955966990279</v>
      </c>
      <c r="E117">
        <f t="shared" si="31"/>
        <v>0.37394066590509739</v>
      </c>
      <c r="F117">
        <f t="shared" si="31"/>
        <v>0.64322247251540432</v>
      </c>
      <c r="G117">
        <f t="shared" si="31"/>
        <v>0.66917436734214486</v>
      </c>
      <c r="H117">
        <f t="shared" si="31"/>
        <v>0.80469869364681279</v>
      </c>
      <c r="I117">
        <f t="shared" si="31"/>
        <v>0.68268759695097314</v>
      </c>
      <c r="J117">
        <f t="shared" si="31"/>
        <v>0.74705071340580531</v>
      </c>
    </row>
    <row r="118" spans="3:10" x14ac:dyDescent="0.25">
      <c r="C118" s="18" t="s">
        <v>42</v>
      </c>
      <c r="D118">
        <f t="shared" ref="D118:J118" si="32">(D73-D$83)/D$85</f>
        <v>0.97460111118389314</v>
      </c>
      <c r="E118">
        <f t="shared" si="32"/>
        <v>1</v>
      </c>
      <c r="F118">
        <f t="shared" si="32"/>
        <v>0.78078172284597103</v>
      </c>
      <c r="G118">
        <f t="shared" si="32"/>
        <v>0.84995742431805499</v>
      </c>
      <c r="H118">
        <f t="shared" si="32"/>
        <v>0.22723262775341102</v>
      </c>
      <c r="I118">
        <f t="shared" si="32"/>
        <v>0.40692536854098615</v>
      </c>
      <c r="J118">
        <f t="shared" si="32"/>
        <v>0.18401325079807429</v>
      </c>
    </row>
    <row r="119" spans="3:10" x14ac:dyDescent="0.25">
      <c r="C119" s="16" t="s">
        <v>43</v>
      </c>
      <c r="D119">
        <f t="shared" ref="D119:J119" si="33">(D74-D$83)/D$85</f>
        <v>0.94615807559362031</v>
      </c>
      <c r="E119">
        <f t="shared" si="33"/>
        <v>0.73928141758162536</v>
      </c>
      <c r="F119">
        <f t="shared" si="33"/>
        <v>0.45471559910750431</v>
      </c>
      <c r="G119">
        <f t="shared" si="33"/>
        <v>0.20054404590623287</v>
      </c>
      <c r="H119">
        <f t="shared" si="33"/>
        <v>0</v>
      </c>
      <c r="I119">
        <f t="shared" si="33"/>
        <v>0.21203906211990414</v>
      </c>
      <c r="J119">
        <f t="shared" si="33"/>
        <v>0</v>
      </c>
    </row>
    <row r="120" spans="3:10" x14ac:dyDescent="0.25">
      <c r="C120" s="18" t="s">
        <v>44</v>
      </c>
      <c r="D120">
        <f t="shared" ref="D120:J120" si="34">(D75-D$83)/D$85</f>
        <v>1</v>
      </c>
      <c r="E120">
        <f t="shared" si="34"/>
        <v>0.74389447836928024</v>
      </c>
      <c r="F120">
        <f t="shared" si="34"/>
        <v>0.70899798194265928</v>
      </c>
      <c r="G120">
        <f t="shared" si="34"/>
        <v>0.67099903942550088</v>
      </c>
      <c r="H120">
        <f t="shared" si="34"/>
        <v>0.14156670689588452</v>
      </c>
      <c r="I120">
        <f t="shared" si="34"/>
        <v>0.46308593462718217</v>
      </c>
      <c r="J120">
        <f t="shared" si="34"/>
        <v>5.8297418374967477E-2</v>
      </c>
    </row>
    <row r="121" spans="3:10" x14ac:dyDescent="0.25">
      <c r="C121" s="16" t="s">
        <v>45</v>
      </c>
      <c r="D121">
        <f t="shared" ref="D121:J121" si="35">(D76-D$83)/D$85</f>
        <v>5.9767232227561987E-2</v>
      </c>
      <c r="E121">
        <f t="shared" si="35"/>
        <v>0.53085304621410223</v>
      </c>
      <c r="F121">
        <f t="shared" si="35"/>
        <v>0.15099040632260091</v>
      </c>
      <c r="G121">
        <f t="shared" si="35"/>
        <v>0.505524352031678</v>
      </c>
      <c r="H121">
        <f t="shared" si="35"/>
        <v>0.75632407342815611</v>
      </c>
      <c r="I121">
        <f t="shared" si="35"/>
        <v>0.50084349468162748</v>
      </c>
      <c r="J121">
        <f t="shared" si="35"/>
        <v>0.76888124557207327</v>
      </c>
    </row>
    <row r="122" spans="3:10" x14ac:dyDescent="0.25">
      <c r="C122" s="18" t="s">
        <v>46</v>
      </c>
      <c r="D122">
        <f t="shared" ref="D122:J122" si="36">(D77-D$83)/D$85</f>
        <v>0.2385617873617096</v>
      </c>
      <c r="E122">
        <f t="shared" si="36"/>
        <v>0.27272278749558815</v>
      </c>
      <c r="F122">
        <f t="shared" si="36"/>
        <v>0.27407418476013945</v>
      </c>
      <c r="G122">
        <f t="shared" si="36"/>
        <v>0.54329506415714834</v>
      </c>
      <c r="H122">
        <f t="shared" si="36"/>
        <v>0.65291699591295127</v>
      </c>
      <c r="I122">
        <f t="shared" si="36"/>
        <v>0.67513065398841166</v>
      </c>
      <c r="J122">
        <f t="shared" si="36"/>
        <v>0.57084249311383495</v>
      </c>
    </row>
    <row r="123" spans="3:10" x14ac:dyDescent="0.25">
      <c r="C123" s="16" t="s">
        <v>47</v>
      </c>
      <c r="D123">
        <f t="shared" ref="D123:J123" si="37">(D78-D$83)/D$85</f>
        <v>0.92331012036029636</v>
      </c>
      <c r="E123">
        <f t="shared" si="37"/>
        <v>0.80552656447468807</v>
      </c>
      <c r="F123">
        <f t="shared" si="37"/>
        <v>0.48251147716948267</v>
      </c>
      <c r="G123">
        <f t="shared" si="37"/>
        <v>0.32818090679910572</v>
      </c>
      <c r="H123">
        <f t="shared" si="37"/>
        <v>4.7820140870206217E-2</v>
      </c>
      <c r="I123">
        <f t="shared" si="37"/>
        <v>0.24139675025429297</v>
      </c>
      <c r="J123">
        <f t="shared" si="37"/>
        <v>4.3790687281035384E-2</v>
      </c>
    </row>
    <row r="124" spans="3:10" x14ac:dyDescent="0.25">
      <c r="C124" s="18" t="s">
        <v>48</v>
      </c>
      <c r="D124">
        <f t="shared" ref="D124:J124" si="38">(D79-D$83)/D$85</f>
        <v>0.53908877633867058</v>
      </c>
      <c r="E124">
        <f t="shared" si="38"/>
        <v>0.32792960670383431</v>
      </c>
      <c r="F124">
        <f t="shared" si="38"/>
        <v>0.78535491040261585</v>
      </c>
      <c r="G124">
        <f t="shared" si="38"/>
        <v>0.52877528848694832</v>
      </c>
      <c r="H124">
        <f t="shared" si="38"/>
        <v>0.72112589278431027</v>
      </c>
      <c r="I124">
        <f t="shared" si="38"/>
        <v>0.63438041327279338</v>
      </c>
      <c r="J124">
        <f t="shared" si="38"/>
        <v>0.66921617056309213</v>
      </c>
    </row>
    <row r="125" spans="3:10" x14ac:dyDescent="0.25">
      <c r="C125" s="16" t="s">
        <v>49</v>
      </c>
      <c r="D125">
        <f t="shared" ref="D125:J125" si="39">(D80-D$83)/D$85</f>
        <v>0.29010693919634878</v>
      </c>
      <c r="E125">
        <f t="shared" si="39"/>
        <v>0.21144555221999994</v>
      </c>
      <c r="F125">
        <f t="shared" si="39"/>
        <v>0.43160840840800141</v>
      </c>
      <c r="G125">
        <f t="shared" si="39"/>
        <v>0.71105164031728307</v>
      </c>
      <c r="H125">
        <f t="shared" si="39"/>
        <v>0.72014595771501522</v>
      </c>
      <c r="I125">
        <f t="shared" si="39"/>
        <v>0.80216740229661365</v>
      </c>
      <c r="J125">
        <f t="shared" si="39"/>
        <v>0.59513013006653381</v>
      </c>
    </row>
    <row r="126" spans="3:10" x14ac:dyDescent="0.25">
      <c r="C126" s="18" t="s">
        <v>51</v>
      </c>
      <c r="D126">
        <f t="shared" ref="D126:J126" si="40">(D81-D$83)/D$85</f>
        <v>0.68034257836800116</v>
      </c>
      <c r="E126">
        <f t="shared" si="40"/>
        <v>0.65492369758359881</v>
      </c>
      <c r="F126">
        <f t="shared" si="40"/>
        <v>0.65401363823750047</v>
      </c>
      <c r="G126">
        <f t="shared" si="40"/>
        <v>0.5089199199661073</v>
      </c>
      <c r="H126">
        <f t="shared" si="40"/>
        <v>0.45768841108559921</v>
      </c>
      <c r="I126">
        <f t="shared" si="40"/>
        <v>0.42869782750618624</v>
      </c>
      <c r="J126">
        <f t="shared" si="40"/>
        <v>0.44708058579366544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9571-A172-4513-B8DD-616A9B088936}">
  <sheetPr codeName="Sheet10"/>
  <dimension ref="A1:K126"/>
  <sheetViews>
    <sheetView tabSelected="1" topLeftCell="A81" workbookViewId="0">
      <selection activeCell="P116" sqref="P116"/>
    </sheetView>
  </sheetViews>
  <sheetFormatPr defaultRowHeight="15" x14ac:dyDescent="0.25"/>
  <cols>
    <col min="1" max="1" width="13" bestFit="1" customWidth="1"/>
    <col min="2" max="2" width="12.42578125" bestFit="1" customWidth="1"/>
    <col min="3" max="3" width="15.140625" bestFit="1" customWidth="1"/>
    <col min="4" max="4" width="28.85546875" bestFit="1" customWidth="1"/>
    <col min="5" max="5" width="28.42578125" bestFit="1" customWidth="1"/>
    <col min="6" max="6" width="22.5703125" bestFit="1" customWidth="1"/>
    <col min="7" max="7" width="22.140625" bestFit="1" customWidth="1"/>
    <col min="8" max="8" width="16.42578125" bestFit="1" customWidth="1"/>
    <col min="9" max="9" width="16" bestFit="1" customWidth="1"/>
    <col min="10" max="10" width="15.140625" bestFit="1" customWidth="1"/>
    <col min="11" max="11" width="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6" t="s">
        <v>11</v>
      </c>
      <c r="B2" s="6" t="s">
        <v>12</v>
      </c>
      <c r="C2">
        <v>3828</v>
      </c>
      <c r="D2">
        <v>0.74617617008484571</v>
      </c>
      <c r="E2">
        <v>3.7859999999999999E-3</v>
      </c>
      <c r="F2">
        <v>0.69358973707538463</v>
      </c>
      <c r="G2">
        <v>1.5772999999999999E-2</v>
      </c>
      <c r="H2">
        <v>-5.2586433009461087E-2</v>
      </c>
      <c r="I2">
        <v>1.1986999999999999E-2</v>
      </c>
      <c r="J2">
        <v>-6.4573433009461084E-2</v>
      </c>
      <c r="K2" t="b">
        <v>1</v>
      </c>
    </row>
    <row r="3" spans="1:11" x14ac:dyDescent="0.25">
      <c r="A3" s="6" t="s">
        <v>13</v>
      </c>
      <c r="B3" s="6" t="s">
        <v>12</v>
      </c>
      <c r="C3">
        <v>3828</v>
      </c>
      <c r="D3">
        <v>0.433574117899103</v>
      </c>
      <c r="E3">
        <v>4.3747000000000001E-2</v>
      </c>
      <c r="F3">
        <v>0.36821869965532444</v>
      </c>
      <c r="G3">
        <v>3.9851999999999999E-2</v>
      </c>
      <c r="H3">
        <v>-6.5355418243778551E-2</v>
      </c>
      <c r="I3">
        <v>-3.8950000000000026E-3</v>
      </c>
      <c r="J3">
        <v>-6.1460418243778549E-2</v>
      </c>
      <c r="K3" t="b">
        <v>1</v>
      </c>
    </row>
    <row r="4" spans="1:11" x14ac:dyDescent="0.25">
      <c r="A4" s="6" t="s">
        <v>14</v>
      </c>
      <c r="B4" s="6" t="s">
        <v>12</v>
      </c>
      <c r="C4">
        <v>3828</v>
      </c>
      <c r="D4">
        <v>0.8492759530252233</v>
      </c>
      <c r="E4">
        <v>9.6906000000000006E-2</v>
      </c>
      <c r="F4">
        <v>0.75875861563368385</v>
      </c>
      <c r="G4">
        <v>1.2330000000000001E-2</v>
      </c>
      <c r="H4">
        <v>-9.0517337391539443E-2</v>
      </c>
      <c r="I4">
        <v>-8.4576000000000012E-2</v>
      </c>
      <c r="J4">
        <v>-5.9413373915394307E-3</v>
      </c>
      <c r="K4" t="b">
        <v>1</v>
      </c>
    </row>
    <row r="5" spans="1:11" x14ac:dyDescent="0.25">
      <c r="A5" s="6" t="s">
        <v>15</v>
      </c>
      <c r="B5" s="6" t="s">
        <v>12</v>
      </c>
      <c r="C5">
        <v>3828</v>
      </c>
      <c r="D5">
        <v>0.3124201073807229</v>
      </c>
      <c r="E5">
        <v>5.4903E-2</v>
      </c>
      <c r="F5">
        <v>0.25852729604102115</v>
      </c>
      <c r="G5">
        <v>-0.12700900000000001</v>
      </c>
      <c r="H5">
        <v>-5.3892811339701752E-2</v>
      </c>
      <c r="I5">
        <v>-0.18191200000000002</v>
      </c>
      <c r="J5">
        <v>0.12801918866029827</v>
      </c>
      <c r="K5" t="b">
        <v>1</v>
      </c>
    </row>
    <row r="6" spans="1:11" x14ac:dyDescent="0.25">
      <c r="A6" s="6" t="s">
        <v>16</v>
      </c>
      <c r="B6" s="6" t="s">
        <v>12</v>
      </c>
      <c r="C6">
        <v>3828</v>
      </c>
      <c r="D6">
        <v>4.8047177731587398E-2</v>
      </c>
      <c r="E6">
        <v>4.6280000000000002E-2</v>
      </c>
      <c r="F6">
        <v>-1.2152226710645642E-2</v>
      </c>
      <c r="G6">
        <v>-5.0600000000000005E-4</v>
      </c>
      <c r="H6">
        <v>-6.019940444223304E-2</v>
      </c>
      <c r="I6">
        <v>-4.6786000000000001E-2</v>
      </c>
      <c r="J6">
        <v>-1.3413404442233039E-2</v>
      </c>
      <c r="K6" t="b">
        <v>1</v>
      </c>
    </row>
    <row r="7" spans="1:11" x14ac:dyDescent="0.25">
      <c r="A7" s="6" t="s">
        <v>17</v>
      </c>
      <c r="B7" s="6" t="s">
        <v>12</v>
      </c>
      <c r="C7">
        <v>3828</v>
      </c>
      <c r="D7">
        <v>0.71667974714678229</v>
      </c>
      <c r="E7">
        <v>0.175566</v>
      </c>
      <c r="F7">
        <v>0.64322089164292773</v>
      </c>
      <c r="G7">
        <v>3.6249999999999998E-2</v>
      </c>
      <c r="H7">
        <v>-7.3458855503854559E-2</v>
      </c>
      <c r="I7">
        <v>-0.139316</v>
      </c>
      <c r="J7">
        <v>6.5857144496145437E-2</v>
      </c>
      <c r="K7" t="b">
        <v>1</v>
      </c>
    </row>
    <row r="8" spans="1:11" x14ac:dyDescent="0.25">
      <c r="A8" s="6" t="s">
        <v>18</v>
      </c>
      <c r="B8" s="6" t="s">
        <v>12</v>
      </c>
      <c r="C8">
        <v>3828</v>
      </c>
      <c r="D8">
        <v>1.2286927275636148</v>
      </c>
      <c r="E8">
        <v>0.13925399999999999</v>
      </c>
      <c r="F8">
        <v>1.1628368847089539</v>
      </c>
      <c r="G8">
        <v>0.217226</v>
      </c>
      <c r="H8">
        <v>-6.5855842854660951E-2</v>
      </c>
      <c r="I8">
        <v>7.7972000000000014E-2</v>
      </c>
      <c r="J8">
        <v>-0.14382784285466096</v>
      </c>
      <c r="K8" t="b">
        <v>1</v>
      </c>
    </row>
    <row r="9" spans="1:11" x14ac:dyDescent="0.25">
      <c r="A9" s="6" t="s">
        <v>19</v>
      </c>
      <c r="B9" s="6" t="s">
        <v>12</v>
      </c>
      <c r="C9">
        <v>3828</v>
      </c>
      <c r="D9">
        <v>0.79589693443184173</v>
      </c>
      <c r="E9">
        <v>0.19956699999999999</v>
      </c>
      <c r="F9">
        <v>0.77755781341114705</v>
      </c>
      <c r="G9">
        <v>-0.25957200000000002</v>
      </c>
      <c r="H9">
        <v>-1.8339121020694682E-2</v>
      </c>
      <c r="I9">
        <v>-0.45913900000000002</v>
      </c>
      <c r="J9">
        <v>0.44079987897930534</v>
      </c>
      <c r="K9" t="b">
        <v>1</v>
      </c>
    </row>
    <row r="10" spans="1:11" x14ac:dyDescent="0.25">
      <c r="A10" s="6" t="s">
        <v>20</v>
      </c>
      <c r="B10" s="6" t="s">
        <v>12</v>
      </c>
      <c r="C10">
        <v>3828</v>
      </c>
      <c r="D10">
        <v>0.40186017946872449</v>
      </c>
      <c r="E10">
        <v>3.1259000000000002E-2</v>
      </c>
      <c r="F10">
        <v>0.35474744740051428</v>
      </c>
      <c r="G10">
        <v>7.2361999999999996E-2</v>
      </c>
      <c r="H10">
        <v>-4.7112732068210206E-2</v>
      </c>
      <c r="I10">
        <v>4.1102999999999994E-2</v>
      </c>
      <c r="J10">
        <v>-8.8215732068210206E-2</v>
      </c>
      <c r="K10" t="b">
        <v>1</v>
      </c>
    </row>
    <row r="11" spans="1:11" x14ac:dyDescent="0.25">
      <c r="A11" s="6" t="s">
        <v>21</v>
      </c>
      <c r="B11" s="6" t="s">
        <v>12</v>
      </c>
      <c r="C11">
        <v>3828</v>
      </c>
      <c r="D11">
        <v>1.4068130746433649</v>
      </c>
      <c r="E11">
        <v>0.175673</v>
      </c>
      <c r="F11">
        <v>1.4464096066612198</v>
      </c>
      <c r="G11">
        <v>0.165189</v>
      </c>
      <c r="H11">
        <v>3.9596532017854846E-2</v>
      </c>
      <c r="I11">
        <v>-1.0483999999999993E-2</v>
      </c>
      <c r="J11">
        <v>5.008053201785484E-2</v>
      </c>
      <c r="K11" t="b">
        <v>1</v>
      </c>
    </row>
    <row r="12" spans="1:11" x14ac:dyDescent="0.25">
      <c r="A12" s="6" t="s">
        <v>22</v>
      </c>
      <c r="B12" s="6" t="s">
        <v>12</v>
      </c>
      <c r="C12">
        <v>3828</v>
      </c>
      <c r="D12">
        <v>0.98973909404467242</v>
      </c>
      <c r="E12">
        <v>-1.5774E-2</v>
      </c>
      <c r="F12">
        <v>1.0194825007934467</v>
      </c>
      <c r="G12">
        <v>0.135711</v>
      </c>
      <c r="H12">
        <v>2.9743406748774293E-2</v>
      </c>
      <c r="I12">
        <v>0.15148500000000001</v>
      </c>
      <c r="J12">
        <v>-0.12174159325122572</v>
      </c>
      <c r="K12" t="b">
        <v>1</v>
      </c>
    </row>
    <row r="13" spans="1:11" x14ac:dyDescent="0.25">
      <c r="A13" s="6" t="s">
        <v>23</v>
      </c>
      <c r="B13" s="6" t="s">
        <v>12</v>
      </c>
      <c r="C13">
        <v>3828</v>
      </c>
      <c r="D13">
        <v>0.30086366235329171</v>
      </c>
      <c r="E13">
        <v>-2.6273999999999999E-2</v>
      </c>
      <c r="F13">
        <v>0.40425259401640923</v>
      </c>
      <c r="G13">
        <v>-0.16467399999999999</v>
      </c>
      <c r="H13">
        <v>0.10338893166311752</v>
      </c>
      <c r="I13">
        <v>-0.1384</v>
      </c>
      <c r="J13">
        <v>0.24178893166311752</v>
      </c>
      <c r="K13" t="b">
        <v>1</v>
      </c>
    </row>
    <row r="14" spans="1:11" x14ac:dyDescent="0.25">
      <c r="A14" s="6" t="s">
        <v>24</v>
      </c>
      <c r="B14" s="6" t="s">
        <v>12</v>
      </c>
      <c r="C14">
        <v>3828</v>
      </c>
      <c r="D14">
        <v>0.1154895486420036</v>
      </c>
      <c r="E14">
        <v>8.8932999999999998E-2</v>
      </c>
      <c r="F14">
        <v>2.0143115377835755E-2</v>
      </c>
      <c r="G14">
        <v>-5.9866999999999997E-2</v>
      </c>
      <c r="H14">
        <v>-9.5346433264167849E-2</v>
      </c>
      <c r="I14">
        <v>-0.14879999999999999</v>
      </c>
      <c r="J14">
        <v>5.3453566735832139E-2</v>
      </c>
      <c r="K14" t="b">
        <v>1</v>
      </c>
    </row>
    <row r="15" spans="1:11" x14ac:dyDescent="0.25">
      <c r="A15" s="6" t="s">
        <v>25</v>
      </c>
      <c r="B15" s="6" t="s">
        <v>12</v>
      </c>
      <c r="C15">
        <v>3828</v>
      </c>
      <c r="D15">
        <v>0.60208868092681922</v>
      </c>
      <c r="E15">
        <v>0.16705999999999999</v>
      </c>
      <c r="F15">
        <v>0.49931610091969875</v>
      </c>
      <c r="G15">
        <v>6.4032000000000006E-2</v>
      </c>
      <c r="H15">
        <v>-0.10277258000712047</v>
      </c>
      <c r="I15">
        <v>-0.10302799999999998</v>
      </c>
      <c r="J15">
        <v>2.5541999287950756E-4</v>
      </c>
      <c r="K15" t="b">
        <v>1</v>
      </c>
    </row>
    <row r="16" spans="1:11" x14ac:dyDescent="0.25">
      <c r="A16" s="6" t="s">
        <v>26</v>
      </c>
      <c r="B16" s="6" t="s">
        <v>12</v>
      </c>
      <c r="C16">
        <v>3828</v>
      </c>
      <c r="D16">
        <v>0.15198619559143101</v>
      </c>
      <c r="E16">
        <v>2.3885E-2</v>
      </c>
      <c r="F16">
        <v>0.24323806857248226</v>
      </c>
      <c r="G16">
        <v>1.4027E-2</v>
      </c>
      <c r="H16">
        <v>9.1251872981051252E-2</v>
      </c>
      <c r="I16">
        <v>-9.8580000000000004E-3</v>
      </c>
      <c r="J16">
        <v>0.10110987298105126</v>
      </c>
      <c r="K16" t="b">
        <v>1</v>
      </c>
    </row>
    <row r="17" spans="1:11" x14ac:dyDescent="0.25">
      <c r="A17" s="6" t="s">
        <v>27</v>
      </c>
      <c r="B17" s="6" t="s">
        <v>12</v>
      </c>
      <c r="C17">
        <v>3828</v>
      </c>
      <c r="D17">
        <v>0.75613253030104954</v>
      </c>
      <c r="E17">
        <v>-4.7580000000000001E-3</v>
      </c>
      <c r="F17">
        <v>0.6551565585052177</v>
      </c>
      <c r="G17">
        <v>2.1163999999999999E-2</v>
      </c>
      <c r="H17">
        <v>-0.10097597179583184</v>
      </c>
      <c r="I17">
        <v>2.5922000000000001E-2</v>
      </c>
      <c r="J17">
        <v>-0.12689797179583184</v>
      </c>
      <c r="K17" t="b">
        <v>1</v>
      </c>
    </row>
    <row r="18" spans="1:11" x14ac:dyDescent="0.25">
      <c r="A18" s="6" t="s">
        <v>28</v>
      </c>
      <c r="B18" s="6" t="s">
        <v>12</v>
      </c>
      <c r="C18">
        <v>3828</v>
      </c>
      <c r="D18">
        <v>1.0994111956561381</v>
      </c>
      <c r="E18">
        <v>3.1260000000000003E-2</v>
      </c>
      <c r="F18">
        <v>1.1291980499231302</v>
      </c>
      <c r="G18">
        <v>-2.2945E-2</v>
      </c>
      <c r="H18">
        <v>2.9786854266992124E-2</v>
      </c>
      <c r="I18">
        <v>-5.4205000000000003E-2</v>
      </c>
      <c r="J18">
        <v>8.3991854266992128E-2</v>
      </c>
      <c r="K18" t="b">
        <v>1</v>
      </c>
    </row>
    <row r="19" spans="1:11" x14ac:dyDescent="0.25">
      <c r="A19" s="6" t="s">
        <v>29</v>
      </c>
      <c r="B19" s="6" t="s">
        <v>12</v>
      </c>
      <c r="C19">
        <v>3828</v>
      </c>
      <c r="D19">
        <v>0.98318701464201519</v>
      </c>
      <c r="E19">
        <v>0.313056</v>
      </c>
      <c r="F19">
        <v>0.89610487473529499</v>
      </c>
      <c r="G19">
        <v>-0.25945200000000002</v>
      </c>
      <c r="H19">
        <v>-8.7082139906720202E-2</v>
      </c>
      <c r="I19">
        <v>-0.57250800000000002</v>
      </c>
      <c r="J19">
        <v>0.48542586009327982</v>
      </c>
      <c r="K19" t="b">
        <v>1</v>
      </c>
    </row>
    <row r="20" spans="1:11" x14ac:dyDescent="0.25">
      <c r="A20" s="6" t="s">
        <v>30</v>
      </c>
      <c r="B20" s="6" t="s">
        <v>12</v>
      </c>
      <c r="C20">
        <v>3828</v>
      </c>
      <c r="D20">
        <v>0.1877496325201887</v>
      </c>
      <c r="E20">
        <v>9.4149999999999998E-2</v>
      </c>
      <c r="F20">
        <v>0.26958540701780503</v>
      </c>
      <c r="G20">
        <v>7.3126999999999998E-2</v>
      </c>
      <c r="H20">
        <v>8.1835774497616337E-2</v>
      </c>
      <c r="I20">
        <v>-2.1023E-2</v>
      </c>
      <c r="J20">
        <v>0.10285877449761634</v>
      </c>
      <c r="K20" t="b">
        <v>1</v>
      </c>
    </row>
    <row r="21" spans="1:11" x14ac:dyDescent="0.25">
      <c r="A21" s="6" t="s">
        <v>31</v>
      </c>
      <c r="B21" s="6" t="s">
        <v>12</v>
      </c>
      <c r="C21">
        <v>3828</v>
      </c>
      <c r="D21">
        <v>-0.1767087583609632</v>
      </c>
      <c r="E21">
        <v>1.6372000000000001E-2</v>
      </c>
      <c r="F21">
        <v>-0.29381876878839774</v>
      </c>
      <c r="G21">
        <v>0.111161</v>
      </c>
      <c r="H21">
        <v>-0.11711001042743455</v>
      </c>
      <c r="I21">
        <v>9.4788999999999998E-2</v>
      </c>
      <c r="J21">
        <v>-0.21189901042743453</v>
      </c>
      <c r="K21" t="b">
        <v>1</v>
      </c>
    </row>
    <row r="22" spans="1:11" x14ac:dyDescent="0.25">
      <c r="A22" s="6" t="s">
        <v>32</v>
      </c>
      <c r="B22" s="6" t="s">
        <v>12</v>
      </c>
      <c r="C22">
        <v>3828</v>
      </c>
      <c r="D22">
        <v>1.6041022197869397</v>
      </c>
      <c r="E22">
        <v>0.33707300000000001</v>
      </c>
      <c r="F22">
        <v>1.444586413226064</v>
      </c>
      <c r="G22">
        <v>3.6685000000000002E-2</v>
      </c>
      <c r="H22">
        <v>-0.15951580656087572</v>
      </c>
      <c r="I22">
        <v>-0.30038799999999999</v>
      </c>
      <c r="J22">
        <v>0.14087219343912427</v>
      </c>
      <c r="K22" t="b">
        <v>1</v>
      </c>
    </row>
    <row r="23" spans="1:11" x14ac:dyDescent="0.25">
      <c r="A23" s="6" t="s">
        <v>33</v>
      </c>
      <c r="B23" s="6" t="s">
        <v>12</v>
      </c>
      <c r="C23">
        <v>3828</v>
      </c>
      <c r="D23">
        <v>1.1126993055581724</v>
      </c>
      <c r="E23">
        <v>0.2712</v>
      </c>
      <c r="F23">
        <v>0.93602892680630334</v>
      </c>
      <c r="G23">
        <v>9.7201999999999997E-2</v>
      </c>
      <c r="H23">
        <v>-0.17667037875186908</v>
      </c>
      <c r="I23">
        <v>-0.17399799999999999</v>
      </c>
      <c r="J23">
        <v>-2.6723787518690978E-3</v>
      </c>
      <c r="K23" t="b">
        <v>1</v>
      </c>
    </row>
    <row r="24" spans="1:11" x14ac:dyDescent="0.25">
      <c r="A24" s="6" t="s">
        <v>34</v>
      </c>
      <c r="B24" s="6" t="s">
        <v>12</v>
      </c>
      <c r="C24">
        <v>3828</v>
      </c>
      <c r="D24">
        <v>1.2708742952498739</v>
      </c>
      <c r="E24">
        <v>3.2065000000000003E-2</v>
      </c>
      <c r="F24">
        <v>1.2716603991151938</v>
      </c>
      <c r="G24">
        <v>3.5300000000000002E-3</v>
      </c>
      <c r="H24">
        <v>7.8610386531985377E-4</v>
      </c>
      <c r="I24">
        <v>-2.8535000000000005E-2</v>
      </c>
      <c r="J24">
        <v>2.9321103865319859E-2</v>
      </c>
      <c r="K24" t="b">
        <v>1</v>
      </c>
    </row>
    <row r="25" spans="1:11" x14ac:dyDescent="0.25">
      <c r="A25" s="6" t="s">
        <v>35</v>
      </c>
      <c r="B25" s="6" t="s">
        <v>12</v>
      </c>
      <c r="C25">
        <v>3828</v>
      </c>
      <c r="D25">
        <v>1.1809369538358243</v>
      </c>
      <c r="E25">
        <v>0.24563599999999999</v>
      </c>
      <c r="F25">
        <v>1.157356172212008</v>
      </c>
      <c r="G25">
        <v>7.9916000000000001E-2</v>
      </c>
      <c r="H25">
        <v>-2.3580781623816272E-2</v>
      </c>
      <c r="I25">
        <v>-0.16571999999999998</v>
      </c>
      <c r="J25">
        <v>0.14213921837618371</v>
      </c>
      <c r="K25" t="b">
        <v>1</v>
      </c>
    </row>
    <row r="26" spans="1:11" x14ac:dyDescent="0.25">
      <c r="A26" s="6" t="s">
        <v>36</v>
      </c>
      <c r="B26" s="6" t="s">
        <v>12</v>
      </c>
      <c r="C26">
        <v>3828</v>
      </c>
      <c r="D26">
        <v>-0.392742591968193</v>
      </c>
      <c r="E26">
        <v>8.1313999999999997E-2</v>
      </c>
      <c r="F26">
        <v>-0.48428075273670212</v>
      </c>
      <c r="G26">
        <v>0.14954899999999999</v>
      </c>
      <c r="H26">
        <v>-9.1538160768509125E-2</v>
      </c>
      <c r="I26">
        <v>6.823499999999999E-2</v>
      </c>
      <c r="J26">
        <v>-0.15977316076850911</v>
      </c>
      <c r="K26" t="b">
        <v>1</v>
      </c>
    </row>
    <row r="27" spans="1:11" x14ac:dyDescent="0.25">
      <c r="A27" s="6" t="s">
        <v>37</v>
      </c>
      <c r="B27" s="6" t="s">
        <v>12</v>
      </c>
      <c r="C27">
        <v>3828</v>
      </c>
      <c r="D27">
        <v>0.56064143197654948</v>
      </c>
      <c r="E27">
        <v>-8.2865999999999995E-2</v>
      </c>
      <c r="F27">
        <v>0.57956988614074079</v>
      </c>
      <c r="G27">
        <v>4.7937E-2</v>
      </c>
      <c r="H27">
        <v>1.8928454164191311E-2</v>
      </c>
      <c r="I27">
        <v>0.130803</v>
      </c>
      <c r="J27">
        <v>-0.11187454583580869</v>
      </c>
      <c r="K27" t="b">
        <v>1</v>
      </c>
    </row>
    <row r="28" spans="1:11" x14ac:dyDescent="0.25">
      <c r="A28" s="6" t="s">
        <v>38</v>
      </c>
      <c r="B28" s="6" t="s">
        <v>12</v>
      </c>
      <c r="C28">
        <v>3828</v>
      </c>
      <c r="D28">
        <v>0.68442139575151539</v>
      </c>
      <c r="E28">
        <v>-0.168438</v>
      </c>
      <c r="F28">
        <v>0.79883011171654572</v>
      </c>
      <c r="G28">
        <v>0.142877</v>
      </c>
      <c r="H28">
        <v>0.11440871596503033</v>
      </c>
      <c r="I28">
        <v>0.31131500000000001</v>
      </c>
      <c r="J28">
        <v>-0.19690628403496968</v>
      </c>
      <c r="K28" t="b">
        <v>1</v>
      </c>
    </row>
    <row r="29" spans="1:11" x14ac:dyDescent="0.25">
      <c r="A29" s="6" t="s">
        <v>39</v>
      </c>
      <c r="B29" s="6" t="s">
        <v>12</v>
      </c>
      <c r="C29">
        <v>3828</v>
      </c>
      <c r="D29">
        <v>1.3584457847668463</v>
      </c>
      <c r="E29">
        <v>6.3566999999999999E-2</v>
      </c>
      <c r="F29">
        <v>1.3908454707115372</v>
      </c>
      <c r="G29">
        <v>3.7657999999999997E-2</v>
      </c>
      <c r="H29">
        <v>3.2399685944690892E-2</v>
      </c>
      <c r="I29">
        <v>-2.5909000000000001E-2</v>
      </c>
      <c r="J29">
        <v>5.8308685944690894E-2</v>
      </c>
      <c r="K29" t="b">
        <v>1</v>
      </c>
    </row>
    <row r="30" spans="1:11" hidden="1" x14ac:dyDescent="0.25">
      <c r="A30" s="6" t="s">
        <v>40</v>
      </c>
      <c r="B30" s="6" t="s">
        <v>12</v>
      </c>
      <c r="C30">
        <v>3828</v>
      </c>
      <c r="D30">
        <v>1.0087998022401772</v>
      </c>
      <c r="E30">
        <v>0.81220199999999998</v>
      </c>
      <c r="F30">
        <v>1.0030936337386354</v>
      </c>
      <c r="G30">
        <v>0.70438599999999996</v>
      </c>
      <c r="H30">
        <v>-5.7061685015418195E-3</v>
      </c>
      <c r="I30">
        <v>-0.10781600000000002</v>
      </c>
      <c r="J30">
        <v>0.1021098314984582</v>
      </c>
      <c r="K30" t="b">
        <v>0</v>
      </c>
    </row>
    <row r="31" spans="1:11" x14ac:dyDescent="0.25">
      <c r="A31" s="6" t="s">
        <v>41</v>
      </c>
      <c r="B31" s="6" t="s">
        <v>12</v>
      </c>
      <c r="C31">
        <v>3828</v>
      </c>
      <c r="D31">
        <v>1.239951818071539</v>
      </c>
      <c r="E31">
        <v>2.8622000000000002E-2</v>
      </c>
      <c r="F31">
        <v>1.2121592338140506</v>
      </c>
      <c r="G31">
        <v>5.9489E-2</v>
      </c>
      <c r="H31">
        <v>-2.7792584257488429E-2</v>
      </c>
      <c r="I31">
        <v>3.0866999999999999E-2</v>
      </c>
      <c r="J31">
        <v>-5.8659584257488427E-2</v>
      </c>
      <c r="K31" t="b">
        <v>1</v>
      </c>
    </row>
    <row r="32" spans="1:11" x14ac:dyDescent="0.25">
      <c r="A32" s="6" t="s">
        <v>42</v>
      </c>
      <c r="B32" s="6" t="s">
        <v>12</v>
      </c>
      <c r="C32">
        <v>3828</v>
      </c>
      <c r="D32">
        <v>2</v>
      </c>
      <c r="E32">
        <v>0.35854399999999997</v>
      </c>
      <c r="F32">
        <v>1.8695060465385429</v>
      </c>
      <c r="G32">
        <v>0.14568600000000001</v>
      </c>
      <c r="H32">
        <v>-0.13049395346145709</v>
      </c>
      <c r="I32">
        <v>-0.21285799999999996</v>
      </c>
      <c r="J32">
        <v>8.2364046538542873E-2</v>
      </c>
      <c r="K32" t="b">
        <v>1</v>
      </c>
    </row>
    <row r="33" spans="1:11" x14ac:dyDescent="0.25">
      <c r="A33" s="6" t="s">
        <v>43</v>
      </c>
      <c r="B33" s="6" t="s">
        <v>12</v>
      </c>
      <c r="C33">
        <v>3828</v>
      </c>
      <c r="D33">
        <v>0.94690898271248325</v>
      </c>
      <c r="E33">
        <v>0.22115000000000001</v>
      </c>
      <c r="F33">
        <v>0.79618226608454667</v>
      </c>
      <c r="G33">
        <v>-0.16395299999999999</v>
      </c>
      <c r="H33">
        <v>-0.15072671662793657</v>
      </c>
      <c r="I33">
        <v>-0.38510299999999997</v>
      </c>
      <c r="J33">
        <v>0.2343762833720634</v>
      </c>
      <c r="K33" t="b">
        <v>1</v>
      </c>
    </row>
    <row r="34" spans="1:11" x14ac:dyDescent="0.25">
      <c r="A34" s="6" t="s">
        <v>44</v>
      </c>
      <c r="B34" s="6" t="s">
        <v>12</v>
      </c>
      <c r="C34">
        <v>3828</v>
      </c>
      <c r="D34">
        <v>2</v>
      </c>
      <c r="E34">
        <v>0.223581</v>
      </c>
      <c r="F34">
        <v>1.954574139272681</v>
      </c>
      <c r="G34">
        <v>6.0359000000000003E-2</v>
      </c>
      <c r="H34">
        <v>-4.5425860727319023E-2</v>
      </c>
      <c r="I34">
        <v>-0.16322200000000001</v>
      </c>
      <c r="J34">
        <v>0.11779613927268098</v>
      </c>
      <c r="K34" t="b">
        <v>1</v>
      </c>
    </row>
    <row r="35" spans="1:11" x14ac:dyDescent="0.25">
      <c r="A35" s="6" t="s">
        <v>45</v>
      </c>
      <c r="B35" s="6" t="s">
        <v>12</v>
      </c>
      <c r="C35">
        <v>3828</v>
      </c>
      <c r="D35">
        <v>0.72652075243897474</v>
      </c>
      <c r="E35">
        <v>0.11131199999999999</v>
      </c>
      <c r="F35">
        <v>0.66794836629141274</v>
      </c>
      <c r="G35">
        <v>-1.8539E-2</v>
      </c>
      <c r="H35">
        <v>-5.8572386147561994E-2</v>
      </c>
      <c r="I35">
        <v>-0.12985099999999999</v>
      </c>
      <c r="J35">
        <v>7.1278613852438E-2</v>
      </c>
      <c r="K35" t="b">
        <v>1</v>
      </c>
    </row>
    <row r="36" spans="1:11" x14ac:dyDescent="0.25">
      <c r="A36" s="6" t="s">
        <v>46</v>
      </c>
      <c r="B36" s="6" t="s">
        <v>12</v>
      </c>
      <c r="C36">
        <v>3828</v>
      </c>
      <c r="D36">
        <v>-0.35309013456956417</v>
      </c>
      <c r="E36">
        <v>-2.4718E-2</v>
      </c>
      <c r="F36">
        <v>-0.27086456573073586</v>
      </c>
      <c r="G36">
        <v>-5.2999999999999998E-4</v>
      </c>
      <c r="H36">
        <v>8.2225568838828311E-2</v>
      </c>
      <c r="I36">
        <v>2.4188000000000001E-2</v>
      </c>
      <c r="J36">
        <v>5.803756883882831E-2</v>
      </c>
      <c r="K36" t="b">
        <v>1</v>
      </c>
    </row>
    <row r="37" spans="1:11" x14ac:dyDescent="0.25">
      <c r="A37" s="6" t="s">
        <v>47</v>
      </c>
      <c r="B37" s="6" t="s">
        <v>12</v>
      </c>
      <c r="C37">
        <v>3828</v>
      </c>
      <c r="D37">
        <v>0.8927569861787138</v>
      </c>
      <c r="E37">
        <v>0.25606000000000001</v>
      </c>
      <c r="F37">
        <v>0.96087309877188121</v>
      </c>
      <c r="G37">
        <v>-0.10309599999999999</v>
      </c>
      <c r="H37">
        <v>6.8116112593167411E-2</v>
      </c>
      <c r="I37">
        <v>-0.35915600000000003</v>
      </c>
      <c r="J37">
        <v>0.42727211259316744</v>
      </c>
      <c r="K37" t="b">
        <v>1</v>
      </c>
    </row>
    <row r="38" spans="1:11" x14ac:dyDescent="0.25">
      <c r="A38" s="6" t="s">
        <v>48</v>
      </c>
      <c r="B38" s="6" t="s">
        <v>12</v>
      </c>
      <c r="C38">
        <v>3828</v>
      </c>
      <c r="D38">
        <v>0.68613473431752969</v>
      </c>
      <c r="E38">
        <v>4.3750000000000004E-3</v>
      </c>
      <c r="F38">
        <v>0.5761071299859245</v>
      </c>
      <c r="G38">
        <v>-7.4530000000000004E-3</v>
      </c>
      <c r="H38">
        <v>-0.11002760433160519</v>
      </c>
      <c r="I38">
        <v>-1.1828000000000002E-2</v>
      </c>
      <c r="J38">
        <v>-9.8199604331605184E-2</v>
      </c>
      <c r="K38" t="b">
        <v>1</v>
      </c>
    </row>
    <row r="39" spans="1:11" x14ac:dyDescent="0.25">
      <c r="A39" s="6" t="s">
        <v>49</v>
      </c>
      <c r="B39" s="6" t="s">
        <v>12</v>
      </c>
      <c r="C39">
        <v>3828</v>
      </c>
      <c r="D39">
        <v>0.52706150660195961</v>
      </c>
      <c r="E39">
        <v>-5.7009999999999998E-2</v>
      </c>
      <c r="F39">
        <v>0.56973293756877497</v>
      </c>
      <c r="G39">
        <v>7.9455999999999999E-2</v>
      </c>
      <c r="H39">
        <v>4.267143096681536E-2</v>
      </c>
      <c r="I39">
        <v>0.136466</v>
      </c>
      <c r="J39">
        <v>-9.3794569033184644E-2</v>
      </c>
      <c r="K39" t="b">
        <v>1</v>
      </c>
    </row>
    <row r="40" spans="1:11" hidden="1" x14ac:dyDescent="0.25">
      <c r="A40" s="6" t="s">
        <v>50</v>
      </c>
      <c r="B40" s="6" t="s">
        <v>12</v>
      </c>
      <c r="C40">
        <v>3828</v>
      </c>
      <c r="D40">
        <v>1.4532738926579576</v>
      </c>
      <c r="E40">
        <v>1.0811409999999999</v>
      </c>
      <c r="F40">
        <v>1.3742884511825941</v>
      </c>
      <c r="G40">
        <v>0.99823200000000001</v>
      </c>
      <c r="H40">
        <v>-7.898544147536346E-2</v>
      </c>
      <c r="I40">
        <v>-8.2908999999999899E-2</v>
      </c>
      <c r="J40">
        <v>3.9235585246364391E-3</v>
      </c>
      <c r="K40" t="b">
        <v>0</v>
      </c>
    </row>
    <row r="41" spans="1:11" x14ac:dyDescent="0.25">
      <c r="A41" s="6" t="s">
        <v>51</v>
      </c>
      <c r="B41" s="6" t="s">
        <v>12</v>
      </c>
      <c r="C41">
        <v>3828</v>
      </c>
      <c r="D41">
        <v>0.57615968189929156</v>
      </c>
      <c r="E41">
        <v>0.17669499999999999</v>
      </c>
      <c r="F41">
        <v>0.51106339393051126</v>
      </c>
      <c r="G41">
        <v>-1.6920000000000001E-2</v>
      </c>
      <c r="H41">
        <v>-6.5096287968780309E-2</v>
      </c>
      <c r="I41">
        <v>-0.19361499999999998</v>
      </c>
      <c r="J41">
        <v>0.12851871203121967</v>
      </c>
      <c r="K41" t="b">
        <v>1</v>
      </c>
    </row>
    <row r="44" spans="1:11" x14ac:dyDescent="0.25">
      <c r="A44" s="16" t="s">
        <v>11</v>
      </c>
      <c r="B44" s="17" t="s">
        <v>12</v>
      </c>
      <c r="C44" s="8">
        <v>3828</v>
      </c>
      <c r="D44" s="8">
        <v>0.74617617008484571</v>
      </c>
      <c r="E44" s="8">
        <v>3.7859999999999999E-3</v>
      </c>
      <c r="F44" s="8">
        <v>0.69358973707538463</v>
      </c>
      <c r="G44" s="8">
        <v>1.5772999999999999E-2</v>
      </c>
      <c r="H44" s="8">
        <v>-5.2586433009461087E-2</v>
      </c>
      <c r="I44" s="8">
        <v>1.1986999999999999E-2</v>
      </c>
      <c r="J44" s="8">
        <v>-6.4573433009461084E-2</v>
      </c>
      <c r="K44" s="9" t="b">
        <v>1</v>
      </c>
    </row>
    <row r="45" spans="1:11" x14ac:dyDescent="0.25">
      <c r="A45" s="18" t="s">
        <v>13</v>
      </c>
      <c r="B45" s="19" t="s">
        <v>12</v>
      </c>
      <c r="C45" s="10">
        <v>3828</v>
      </c>
      <c r="D45" s="10">
        <v>0.433574117899103</v>
      </c>
      <c r="E45" s="10">
        <v>4.3747000000000001E-2</v>
      </c>
      <c r="F45" s="10">
        <v>0.36821869965532444</v>
      </c>
      <c r="G45" s="10">
        <v>3.9851999999999999E-2</v>
      </c>
      <c r="H45" s="10">
        <v>-6.5355418243778551E-2</v>
      </c>
      <c r="I45" s="10">
        <v>-3.8950000000000026E-3</v>
      </c>
      <c r="J45" s="10">
        <v>-6.1460418243778549E-2</v>
      </c>
      <c r="K45" s="11" t="b">
        <v>1</v>
      </c>
    </row>
    <row r="46" spans="1:11" x14ac:dyDescent="0.25">
      <c r="A46" s="16" t="s">
        <v>14</v>
      </c>
      <c r="B46" s="17" t="s">
        <v>12</v>
      </c>
      <c r="C46" s="8">
        <v>3828</v>
      </c>
      <c r="D46" s="8">
        <v>0.8492759530252233</v>
      </c>
      <c r="E46" s="8">
        <v>9.6906000000000006E-2</v>
      </c>
      <c r="F46" s="8">
        <v>0.75875861563368385</v>
      </c>
      <c r="G46" s="8">
        <v>1.2330000000000001E-2</v>
      </c>
      <c r="H46" s="8">
        <v>-9.0517337391539443E-2</v>
      </c>
      <c r="I46" s="8">
        <v>-8.4576000000000012E-2</v>
      </c>
      <c r="J46" s="8">
        <v>-5.9413373915394307E-3</v>
      </c>
      <c r="K46" s="9" t="b">
        <v>1</v>
      </c>
    </row>
    <row r="47" spans="1:11" x14ac:dyDescent="0.25">
      <c r="A47" s="18" t="s">
        <v>15</v>
      </c>
      <c r="B47" s="19" t="s">
        <v>12</v>
      </c>
      <c r="C47" s="10">
        <v>3828</v>
      </c>
      <c r="D47" s="10">
        <v>0.3124201073807229</v>
      </c>
      <c r="E47" s="10">
        <v>5.4903E-2</v>
      </c>
      <c r="F47" s="10">
        <v>0.25852729604102115</v>
      </c>
      <c r="G47" s="10">
        <v>-0.12700900000000001</v>
      </c>
      <c r="H47" s="10">
        <v>-5.3892811339701752E-2</v>
      </c>
      <c r="I47" s="10">
        <v>-0.18191200000000002</v>
      </c>
      <c r="J47" s="10">
        <v>0.12801918866029827</v>
      </c>
      <c r="K47" s="11" t="b">
        <v>1</v>
      </c>
    </row>
    <row r="48" spans="1:11" x14ac:dyDescent="0.25">
      <c r="A48" s="16" t="s">
        <v>16</v>
      </c>
      <c r="B48" s="17" t="s">
        <v>12</v>
      </c>
      <c r="C48" s="8">
        <v>3828</v>
      </c>
      <c r="D48" s="8">
        <v>4.8047177731587398E-2</v>
      </c>
      <c r="E48" s="8">
        <v>4.6280000000000002E-2</v>
      </c>
      <c r="F48" s="8">
        <v>-1.2152226710645642E-2</v>
      </c>
      <c r="G48" s="8">
        <v>-5.0600000000000005E-4</v>
      </c>
      <c r="H48" s="8">
        <v>-6.019940444223304E-2</v>
      </c>
      <c r="I48" s="8">
        <v>-4.6786000000000001E-2</v>
      </c>
      <c r="J48" s="8">
        <v>-1.3413404442233039E-2</v>
      </c>
      <c r="K48" s="9" t="b">
        <v>1</v>
      </c>
    </row>
    <row r="49" spans="1:11" x14ac:dyDescent="0.25">
      <c r="A49" s="18" t="s">
        <v>17</v>
      </c>
      <c r="B49" s="19" t="s">
        <v>12</v>
      </c>
      <c r="C49" s="10">
        <v>3828</v>
      </c>
      <c r="D49" s="10">
        <v>0.71667974714678229</v>
      </c>
      <c r="E49" s="10">
        <v>0.175566</v>
      </c>
      <c r="F49" s="10">
        <v>0.64322089164292773</v>
      </c>
      <c r="G49" s="10">
        <v>3.6249999999999998E-2</v>
      </c>
      <c r="H49" s="10">
        <v>-7.3458855503854559E-2</v>
      </c>
      <c r="I49" s="10">
        <v>-0.139316</v>
      </c>
      <c r="J49" s="10">
        <v>6.5857144496145437E-2</v>
      </c>
      <c r="K49" s="11" t="b">
        <v>1</v>
      </c>
    </row>
    <row r="50" spans="1:11" x14ac:dyDescent="0.25">
      <c r="A50" s="16" t="s">
        <v>18</v>
      </c>
      <c r="B50" s="17" t="s">
        <v>12</v>
      </c>
      <c r="C50" s="8">
        <v>3828</v>
      </c>
      <c r="D50" s="8">
        <v>1.2286927275636148</v>
      </c>
      <c r="E50" s="8">
        <v>0.13925399999999999</v>
      </c>
      <c r="F50" s="8">
        <v>1.1628368847089539</v>
      </c>
      <c r="G50" s="8">
        <v>0.217226</v>
      </c>
      <c r="H50" s="8">
        <v>-6.5855842854660951E-2</v>
      </c>
      <c r="I50" s="8">
        <v>7.7972000000000014E-2</v>
      </c>
      <c r="J50" s="8">
        <v>-0.14382784285466096</v>
      </c>
      <c r="K50" s="9" t="b">
        <v>1</v>
      </c>
    </row>
    <row r="51" spans="1:11" x14ac:dyDescent="0.25">
      <c r="A51" s="18" t="s">
        <v>19</v>
      </c>
      <c r="B51" s="19" t="s">
        <v>12</v>
      </c>
      <c r="C51" s="10">
        <v>3828</v>
      </c>
      <c r="D51" s="10">
        <v>0.79589693443184173</v>
      </c>
      <c r="E51" s="10">
        <v>0.19956699999999999</v>
      </c>
      <c r="F51" s="10">
        <v>0.77755781341114705</v>
      </c>
      <c r="G51" s="10">
        <v>-0.25957200000000002</v>
      </c>
      <c r="H51" s="10">
        <v>-1.8339121020694682E-2</v>
      </c>
      <c r="I51" s="10">
        <v>-0.45913900000000002</v>
      </c>
      <c r="J51" s="10">
        <v>0.44079987897930534</v>
      </c>
      <c r="K51" s="11" t="b">
        <v>1</v>
      </c>
    </row>
    <row r="52" spans="1:11" x14ac:dyDescent="0.25">
      <c r="A52" s="16" t="s">
        <v>20</v>
      </c>
      <c r="B52" s="17" t="s">
        <v>12</v>
      </c>
      <c r="C52" s="8">
        <v>3828</v>
      </c>
      <c r="D52" s="8">
        <v>0.40186017946872449</v>
      </c>
      <c r="E52" s="8">
        <v>3.1259000000000002E-2</v>
      </c>
      <c r="F52" s="8">
        <v>0.35474744740051428</v>
      </c>
      <c r="G52" s="8">
        <v>7.2361999999999996E-2</v>
      </c>
      <c r="H52" s="8">
        <v>-4.7112732068210206E-2</v>
      </c>
      <c r="I52" s="8">
        <v>4.1102999999999994E-2</v>
      </c>
      <c r="J52" s="8">
        <v>-8.8215732068210206E-2</v>
      </c>
      <c r="K52" s="9" t="b">
        <v>1</v>
      </c>
    </row>
    <row r="53" spans="1:11" x14ac:dyDescent="0.25">
      <c r="A53" s="18" t="s">
        <v>21</v>
      </c>
      <c r="B53" s="19" t="s">
        <v>12</v>
      </c>
      <c r="C53" s="10">
        <v>3828</v>
      </c>
      <c r="D53" s="10">
        <v>1.4068130746433649</v>
      </c>
      <c r="E53" s="10">
        <v>0.175673</v>
      </c>
      <c r="F53" s="10">
        <v>1.4464096066612198</v>
      </c>
      <c r="G53" s="10">
        <v>0.165189</v>
      </c>
      <c r="H53" s="10">
        <v>3.9596532017854846E-2</v>
      </c>
      <c r="I53" s="10">
        <v>-1.0483999999999993E-2</v>
      </c>
      <c r="J53" s="10">
        <v>5.008053201785484E-2</v>
      </c>
      <c r="K53" s="11" t="b">
        <v>1</v>
      </c>
    </row>
    <row r="54" spans="1:11" x14ac:dyDescent="0.25">
      <c r="A54" s="16" t="s">
        <v>22</v>
      </c>
      <c r="B54" s="17" t="s">
        <v>12</v>
      </c>
      <c r="C54" s="8">
        <v>3828</v>
      </c>
      <c r="D54" s="8">
        <v>0.98973909404467242</v>
      </c>
      <c r="E54" s="8">
        <v>-1.5774E-2</v>
      </c>
      <c r="F54" s="8">
        <v>1.0194825007934467</v>
      </c>
      <c r="G54" s="8">
        <v>0.135711</v>
      </c>
      <c r="H54" s="8">
        <v>2.9743406748774293E-2</v>
      </c>
      <c r="I54" s="8">
        <v>0.15148500000000001</v>
      </c>
      <c r="J54" s="8">
        <v>-0.12174159325122572</v>
      </c>
      <c r="K54" s="9" t="b">
        <v>1</v>
      </c>
    </row>
    <row r="55" spans="1:11" x14ac:dyDescent="0.25">
      <c r="A55" s="18" t="s">
        <v>23</v>
      </c>
      <c r="B55" s="19" t="s">
        <v>12</v>
      </c>
      <c r="C55" s="10">
        <v>3828</v>
      </c>
      <c r="D55" s="10">
        <v>0.30086366235329171</v>
      </c>
      <c r="E55" s="10">
        <v>-2.6273999999999999E-2</v>
      </c>
      <c r="F55" s="10">
        <v>0.40425259401640923</v>
      </c>
      <c r="G55" s="10">
        <v>-0.16467399999999999</v>
      </c>
      <c r="H55" s="10">
        <v>0.10338893166311752</v>
      </c>
      <c r="I55" s="10">
        <v>-0.1384</v>
      </c>
      <c r="J55" s="10">
        <v>0.24178893166311752</v>
      </c>
      <c r="K55" s="11" t="b">
        <v>1</v>
      </c>
    </row>
    <row r="56" spans="1:11" x14ac:dyDescent="0.25">
      <c r="A56" s="16" t="s">
        <v>24</v>
      </c>
      <c r="B56" s="17" t="s">
        <v>12</v>
      </c>
      <c r="C56" s="8">
        <v>3828</v>
      </c>
      <c r="D56" s="8">
        <v>0.1154895486420036</v>
      </c>
      <c r="E56" s="8">
        <v>8.8932999999999998E-2</v>
      </c>
      <c r="F56" s="8">
        <v>2.0143115377835755E-2</v>
      </c>
      <c r="G56" s="8">
        <v>-5.9866999999999997E-2</v>
      </c>
      <c r="H56" s="8">
        <v>-9.5346433264167849E-2</v>
      </c>
      <c r="I56" s="8">
        <v>-0.14879999999999999</v>
      </c>
      <c r="J56" s="8">
        <v>5.3453566735832139E-2</v>
      </c>
      <c r="K56" s="9" t="b">
        <v>1</v>
      </c>
    </row>
    <row r="57" spans="1:11" x14ac:dyDescent="0.25">
      <c r="A57" s="18" t="s">
        <v>25</v>
      </c>
      <c r="B57" s="19" t="s">
        <v>12</v>
      </c>
      <c r="C57" s="10">
        <v>3828</v>
      </c>
      <c r="D57" s="10">
        <v>0.60208868092681922</v>
      </c>
      <c r="E57" s="10">
        <v>0.16705999999999999</v>
      </c>
      <c r="F57" s="10">
        <v>0.49931610091969875</v>
      </c>
      <c r="G57" s="10">
        <v>6.4032000000000006E-2</v>
      </c>
      <c r="H57" s="10">
        <v>-0.10277258000712047</v>
      </c>
      <c r="I57" s="10">
        <v>-0.10302799999999998</v>
      </c>
      <c r="J57" s="10">
        <v>2.5541999287950756E-4</v>
      </c>
      <c r="K57" s="11" t="b">
        <v>1</v>
      </c>
    </row>
    <row r="58" spans="1:11" x14ac:dyDescent="0.25">
      <c r="A58" s="16" t="s">
        <v>26</v>
      </c>
      <c r="B58" s="17" t="s">
        <v>12</v>
      </c>
      <c r="C58" s="8">
        <v>3828</v>
      </c>
      <c r="D58" s="8">
        <v>0.15198619559143101</v>
      </c>
      <c r="E58" s="8">
        <v>2.3885E-2</v>
      </c>
      <c r="F58" s="8">
        <v>0.24323806857248226</v>
      </c>
      <c r="G58" s="8">
        <v>1.4027E-2</v>
      </c>
      <c r="H58" s="8">
        <v>9.1251872981051252E-2</v>
      </c>
      <c r="I58" s="8">
        <v>-9.8580000000000004E-3</v>
      </c>
      <c r="J58" s="8">
        <v>0.10110987298105126</v>
      </c>
      <c r="K58" s="9" t="b">
        <v>1</v>
      </c>
    </row>
    <row r="59" spans="1:11" x14ac:dyDescent="0.25">
      <c r="A59" s="18" t="s">
        <v>27</v>
      </c>
      <c r="B59" s="19" t="s">
        <v>12</v>
      </c>
      <c r="C59" s="10">
        <v>3828</v>
      </c>
      <c r="D59" s="10">
        <v>0.75613253030104954</v>
      </c>
      <c r="E59" s="10">
        <v>-4.7580000000000001E-3</v>
      </c>
      <c r="F59" s="10">
        <v>0.6551565585052177</v>
      </c>
      <c r="G59" s="10">
        <v>2.1163999999999999E-2</v>
      </c>
      <c r="H59" s="10">
        <v>-0.10097597179583184</v>
      </c>
      <c r="I59" s="10">
        <v>2.5922000000000001E-2</v>
      </c>
      <c r="J59" s="10">
        <v>-0.12689797179583184</v>
      </c>
      <c r="K59" s="11" t="b">
        <v>1</v>
      </c>
    </row>
    <row r="60" spans="1:11" x14ac:dyDescent="0.25">
      <c r="A60" s="16" t="s">
        <v>28</v>
      </c>
      <c r="B60" s="17" t="s">
        <v>12</v>
      </c>
      <c r="C60" s="8">
        <v>3828</v>
      </c>
      <c r="D60" s="8">
        <v>1.0994111956561381</v>
      </c>
      <c r="E60" s="8">
        <v>3.1260000000000003E-2</v>
      </c>
      <c r="F60" s="8">
        <v>1.1291980499231302</v>
      </c>
      <c r="G60" s="8">
        <v>-2.2945E-2</v>
      </c>
      <c r="H60" s="8">
        <v>2.9786854266992124E-2</v>
      </c>
      <c r="I60" s="8">
        <v>-5.4205000000000003E-2</v>
      </c>
      <c r="J60" s="8">
        <v>8.3991854266992128E-2</v>
      </c>
      <c r="K60" s="9" t="b">
        <v>1</v>
      </c>
    </row>
    <row r="61" spans="1:11" x14ac:dyDescent="0.25">
      <c r="A61" s="18" t="s">
        <v>29</v>
      </c>
      <c r="B61" s="19" t="s">
        <v>12</v>
      </c>
      <c r="C61" s="10">
        <v>3828</v>
      </c>
      <c r="D61" s="10">
        <v>0.98318701464201519</v>
      </c>
      <c r="E61" s="10">
        <v>0.313056</v>
      </c>
      <c r="F61" s="10">
        <v>0.89610487473529499</v>
      </c>
      <c r="G61" s="10">
        <v>-0.25945200000000002</v>
      </c>
      <c r="H61" s="10">
        <v>-8.7082139906720202E-2</v>
      </c>
      <c r="I61" s="10">
        <v>-0.57250800000000002</v>
      </c>
      <c r="J61" s="10">
        <v>0.48542586009327982</v>
      </c>
      <c r="K61" s="11" t="b">
        <v>1</v>
      </c>
    </row>
    <row r="62" spans="1:11" x14ac:dyDescent="0.25">
      <c r="A62" s="16" t="s">
        <v>30</v>
      </c>
      <c r="B62" s="17" t="s">
        <v>12</v>
      </c>
      <c r="C62" s="8">
        <v>3828</v>
      </c>
      <c r="D62" s="8">
        <v>0.1877496325201887</v>
      </c>
      <c r="E62" s="8">
        <v>9.4149999999999998E-2</v>
      </c>
      <c r="F62" s="8">
        <v>0.26958540701780503</v>
      </c>
      <c r="G62" s="8">
        <v>7.3126999999999998E-2</v>
      </c>
      <c r="H62" s="8">
        <v>8.1835774497616337E-2</v>
      </c>
      <c r="I62" s="8">
        <v>-2.1023E-2</v>
      </c>
      <c r="J62" s="8">
        <v>0.10285877449761634</v>
      </c>
      <c r="K62" s="9" t="b">
        <v>1</v>
      </c>
    </row>
    <row r="63" spans="1:11" x14ac:dyDescent="0.25">
      <c r="A63" s="18" t="s">
        <v>31</v>
      </c>
      <c r="B63" s="19" t="s">
        <v>12</v>
      </c>
      <c r="C63" s="10">
        <v>3828</v>
      </c>
      <c r="D63" s="10">
        <v>-0.1767087583609632</v>
      </c>
      <c r="E63" s="10">
        <v>1.6372000000000001E-2</v>
      </c>
      <c r="F63" s="10">
        <v>-0.29381876878839774</v>
      </c>
      <c r="G63" s="10">
        <v>0.111161</v>
      </c>
      <c r="H63" s="10">
        <v>-0.11711001042743455</v>
      </c>
      <c r="I63" s="10">
        <v>9.4788999999999998E-2</v>
      </c>
      <c r="J63" s="10">
        <v>-0.21189901042743453</v>
      </c>
      <c r="K63" s="11" t="b">
        <v>1</v>
      </c>
    </row>
    <row r="64" spans="1:11" x14ac:dyDescent="0.25">
      <c r="A64" s="16" t="s">
        <v>32</v>
      </c>
      <c r="B64" s="17" t="s">
        <v>12</v>
      </c>
      <c r="C64" s="8">
        <v>3828</v>
      </c>
      <c r="D64" s="8">
        <v>1.6041022197869397</v>
      </c>
      <c r="E64" s="8">
        <v>0.33707300000000001</v>
      </c>
      <c r="F64" s="8">
        <v>1.444586413226064</v>
      </c>
      <c r="G64" s="8">
        <v>3.6685000000000002E-2</v>
      </c>
      <c r="H64" s="8">
        <v>-0.15951580656087572</v>
      </c>
      <c r="I64" s="8">
        <v>-0.30038799999999999</v>
      </c>
      <c r="J64" s="8">
        <v>0.14087219343912427</v>
      </c>
      <c r="K64" s="9" t="b">
        <v>1</v>
      </c>
    </row>
    <row r="65" spans="1:11" x14ac:dyDescent="0.25">
      <c r="A65" s="18" t="s">
        <v>33</v>
      </c>
      <c r="B65" s="19" t="s">
        <v>12</v>
      </c>
      <c r="C65" s="10">
        <v>3828</v>
      </c>
      <c r="D65" s="10">
        <v>1.1126993055581724</v>
      </c>
      <c r="E65" s="10">
        <v>0.2712</v>
      </c>
      <c r="F65" s="10">
        <v>0.93602892680630334</v>
      </c>
      <c r="G65" s="10">
        <v>9.7201999999999997E-2</v>
      </c>
      <c r="H65" s="10">
        <v>-0.17667037875186908</v>
      </c>
      <c r="I65" s="10">
        <v>-0.17399799999999999</v>
      </c>
      <c r="J65" s="10">
        <v>-2.6723787518690978E-3</v>
      </c>
      <c r="K65" s="11" t="b">
        <v>1</v>
      </c>
    </row>
    <row r="66" spans="1:11" x14ac:dyDescent="0.25">
      <c r="A66" s="16" t="s">
        <v>34</v>
      </c>
      <c r="B66" s="17" t="s">
        <v>12</v>
      </c>
      <c r="C66" s="8">
        <v>3828</v>
      </c>
      <c r="D66" s="8">
        <v>1.2708742952498739</v>
      </c>
      <c r="E66" s="8">
        <v>3.2065000000000003E-2</v>
      </c>
      <c r="F66" s="8">
        <v>1.2716603991151938</v>
      </c>
      <c r="G66" s="8">
        <v>3.5300000000000002E-3</v>
      </c>
      <c r="H66" s="8">
        <v>7.8610386531985377E-4</v>
      </c>
      <c r="I66" s="8">
        <v>-2.8535000000000005E-2</v>
      </c>
      <c r="J66" s="8">
        <v>2.9321103865319859E-2</v>
      </c>
      <c r="K66" s="9" t="b">
        <v>1</v>
      </c>
    </row>
    <row r="67" spans="1:11" x14ac:dyDescent="0.25">
      <c r="A67" s="18" t="s">
        <v>35</v>
      </c>
      <c r="B67" s="19" t="s">
        <v>12</v>
      </c>
      <c r="C67" s="10">
        <v>3828</v>
      </c>
      <c r="D67" s="10">
        <v>1.1809369538358243</v>
      </c>
      <c r="E67" s="10">
        <v>0.24563599999999999</v>
      </c>
      <c r="F67" s="10">
        <v>1.157356172212008</v>
      </c>
      <c r="G67" s="10">
        <v>7.9916000000000001E-2</v>
      </c>
      <c r="H67" s="10">
        <v>-2.3580781623816272E-2</v>
      </c>
      <c r="I67" s="10">
        <v>-0.16571999999999998</v>
      </c>
      <c r="J67" s="10">
        <v>0.14213921837618371</v>
      </c>
      <c r="K67" s="11" t="b">
        <v>1</v>
      </c>
    </row>
    <row r="68" spans="1:11" x14ac:dyDescent="0.25">
      <c r="A68" s="16" t="s">
        <v>36</v>
      </c>
      <c r="B68" s="17" t="s">
        <v>12</v>
      </c>
      <c r="C68" s="8">
        <v>3828</v>
      </c>
      <c r="D68" s="8">
        <v>-0.392742591968193</v>
      </c>
      <c r="E68" s="8">
        <v>8.1313999999999997E-2</v>
      </c>
      <c r="F68" s="8">
        <v>-0.48428075273670212</v>
      </c>
      <c r="G68" s="8">
        <v>0.14954899999999999</v>
      </c>
      <c r="H68" s="8">
        <v>-9.1538160768509125E-2</v>
      </c>
      <c r="I68" s="8">
        <v>6.823499999999999E-2</v>
      </c>
      <c r="J68" s="8">
        <v>-0.15977316076850911</v>
      </c>
      <c r="K68" s="9" t="b">
        <v>1</v>
      </c>
    </row>
    <row r="69" spans="1:11" x14ac:dyDescent="0.25">
      <c r="A69" s="18" t="s">
        <v>37</v>
      </c>
      <c r="B69" s="19" t="s">
        <v>12</v>
      </c>
      <c r="C69" s="10">
        <v>3828</v>
      </c>
      <c r="D69" s="10">
        <v>0.56064143197654948</v>
      </c>
      <c r="E69" s="10">
        <v>-8.2865999999999995E-2</v>
      </c>
      <c r="F69" s="10">
        <v>0.57956988614074079</v>
      </c>
      <c r="G69" s="10">
        <v>4.7937E-2</v>
      </c>
      <c r="H69" s="10">
        <v>1.8928454164191311E-2</v>
      </c>
      <c r="I69" s="10">
        <v>0.130803</v>
      </c>
      <c r="J69" s="10">
        <v>-0.11187454583580869</v>
      </c>
      <c r="K69" s="11" t="b">
        <v>1</v>
      </c>
    </row>
    <row r="70" spans="1:11" x14ac:dyDescent="0.25">
      <c r="A70" s="16" t="s">
        <v>38</v>
      </c>
      <c r="B70" s="17" t="s">
        <v>12</v>
      </c>
      <c r="C70" s="8">
        <v>3828</v>
      </c>
      <c r="D70" s="8">
        <v>0.68442139575151539</v>
      </c>
      <c r="E70" s="8">
        <v>-0.168438</v>
      </c>
      <c r="F70" s="8">
        <v>0.79883011171654572</v>
      </c>
      <c r="G70" s="8">
        <v>0.142877</v>
      </c>
      <c r="H70" s="8">
        <v>0.11440871596503033</v>
      </c>
      <c r="I70" s="8">
        <v>0.31131500000000001</v>
      </c>
      <c r="J70" s="8">
        <v>-0.19690628403496968</v>
      </c>
      <c r="K70" s="9" t="b">
        <v>1</v>
      </c>
    </row>
    <row r="71" spans="1:11" x14ac:dyDescent="0.25">
      <c r="A71" s="18" t="s">
        <v>39</v>
      </c>
      <c r="B71" s="19" t="s">
        <v>12</v>
      </c>
      <c r="C71" s="10">
        <v>3828</v>
      </c>
      <c r="D71" s="10">
        <v>1.3584457847668463</v>
      </c>
      <c r="E71" s="10">
        <v>6.3566999999999999E-2</v>
      </c>
      <c r="F71" s="10">
        <v>1.3908454707115372</v>
      </c>
      <c r="G71" s="10">
        <v>3.7657999999999997E-2</v>
      </c>
      <c r="H71" s="10">
        <v>3.2399685944690892E-2</v>
      </c>
      <c r="I71" s="10">
        <v>-2.5909000000000001E-2</v>
      </c>
      <c r="J71" s="10">
        <v>5.8308685944690894E-2</v>
      </c>
      <c r="K71" s="11" t="b">
        <v>1</v>
      </c>
    </row>
    <row r="72" spans="1:11" x14ac:dyDescent="0.25">
      <c r="A72" s="16" t="s">
        <v>41</v>
      </c>
      <c r="B72" s="17" t="s">
        <v>12</v>
      </c>
      <c r="C72" s="8">
        <v>3828</v>
      </c>
      <c r="D72" s="8">
        <v>1.239951818071539</v>
      </c>
      <c r="E72" s="8">
        <v>2.8622000000000002E-2</v>
      </c>
      <c r="F72" s="8">
        <v>1.2121592338140506</v>
      </c>
      <c r="G72" s="8">
        <v>5.9489E-2</v>
      </c>
      <c r="H72" s="8">
        <v>-2.7792584257488429E-2</v>
      </c>
      <c r="I72" s="8">
        <v>3.0866999999999999E-2</v>
      </c>
      <c r="J72" s="8">
        <v>-5.8659584257488427E-2</v>
      </c>
      <c r="K72" s="9" t="b">
        <v>1</v>
      </c>
    </row>
    <row r="73" spans="1:11" x14ac:dyDescent="0.25">
      <c r="A73" s="18" t="s">
        <v>42</v>
      </c>
      <c r="B73" s="19" t="s">
        <v>12</v>
      </c>
      <c r="C73" s="10">
        <v>3828</v>
      </c>
      <c r="D73" s="10">
        <v>2</v>
      </c>
      <c r="E73" s="10">
        <v>0.35854399999999997</v>
      </c>
      <c r="F73" s="10">
        <v>1.8695060465385429</v>
      </c>
      <c r="G73" s="10">
        <v>0.14568600000000001</v>
      </c>
      <c r="H73" s="10">
        <v>-0.13049395346145709</v>
      </c>
      <c r="I73" s="10">
        <v>-0.21285799999999996</v>
      </c>
      <c r="J73" s="10">
        <v>8.2364046538542873E-2</v>
      </c>
      <c r="K73" s="11" t="b">
        <v>1</v>
      </c>
    </row>
    <row r="74" spans="1:11" x14ac:dyDescent="0.25">
      <c r="A74" s="16" t="s">
        <v>43</v>
      </c>
      <c r="B74" s="17" t="s">
        <v>12</v>
      </c>
      <c r="C74" s="8">
        <v>3828</v>
      </c>
      <c r="D74" s="8">
        <v>0.94690898271248325</v>
      </c>
      <c r="E74" s="8">
        <v>0.22115000000000001</v>
      </c>
      <c r="F74" s="8">
        <v>0.79618226608454667</v>
      </c>
      <c r="G74" s="8">
        <v>-0.16395299999999999</v>
      </c>
      <c r="H74" s="8">
        <v>-0.15072671662793657</v>
      </c>
      <c r="I74" s="8">
        <v>-0.38510299999999997</v>
      </c>
      <c r="J74" s="8">
        <v>0.2343762833720634</v>
      </c>
      <c r="K74" s="9" t="b">
        <v>1</v>
      </c>
    </row>
    <row r="75" spans="1:11" x14ac:dyDescent="0.25">
      <c r="A75" s="18" t="s">
        <v>44</v>
      </c>
      <c r="B75" s="19" t="s">
        <v>12</v>
      </c>
      <c r="C75" s="10">
        <v>3828</v>
      </c>
      <c r="D75" s="10">
        <v>2</v>
      </c>
      <c r="E75" s="10">
        <v>0.223581</v>
      </c>
      <c r="F75" s="10">
        <v>1.954574139272681</v>
      </c>
      <c r="G75" s="10">
        <v>6.0359000000000003E-2</v>
      </c>
      <c r="H75" s="10">
        <v>-4.5425860727319023E-2</v>
      </c>
      <c r="I75" s="10">
        <v>-0.16322200000000001</v>
      </c>
      <c r="J75" s="10">
        <v>0.11779613927268098</v>
      </c>
      <c r="K75" s="11" t="b">
        <v>1</v>
      </c>
    </row>
    <row r="76" spans="1:11" x14ac:dyDescent="0.25">
      <c r="A76" s="16" t="s">
        <v>45</v>
      </c>
      <c r="B76" s="17" t="s">
        <v>12</v>
      </c>
      <c r="C76" s="8">
        <v>3828</v>
      </c>
      <c r="D76" s="8">
        <v>0.72652075243897474</v>
      </c>
      <c r="E76" s="8">
        <v>0.11131199999999999</v>
      </c>
      <c r="F76" s="8">
        <v>0.66794836629141274</v>
      </c>
      <c r="G76" s="8">
        <v>-1.8539E-2</v>
      </c>
      <c r="H76" s="8">
        <v>-5.8572386147561994E-2</v>
      </c>
      <c r="I76" s="8">
        <v>-0.12985099999999999</v>
      </c>
      <c r="J76" s="8">
        <v>7.1278613852438E-2</v>
      </c>
      <c r="K76" s="9" t="b">
        <v>1</v>
      </c>
    </row>
    <row r="77" spans="1:11" x14ac:dyDescent="0.25">
      <c r="A77" s="18" t="s">
        <v>46</v>
      </c>
      <c r="B77" s="19" t="s">
        <v>12</v>
      </c>
      <c r="C77" s="10">
        <v>3828</v>
      </c>
      <c r="D77" s="10">
        <v>-0.35309013456956417</v>
      </c>
      <c r="E77" s="10">
        <v>-2.4718E-2</v>
      </c>
      <c r="F77" s="10">
        <v>-0.27086456573073586</v>
      </c>
      <c r="G77" s="10">
        <v>-5.2999999999999998E-4</v>
      </c>
      <c r="H77" s="10">
        <v>8.2225568838828311E-2</v>
      </c>
      <c r="I77" s="10">
        <v>2.4188000000000001E-2</v>
      </c>
      <c r="J77" s="10">
        <v>5.803756883882831E-2</v>
      </c>
      <c r="K77" s="11" t="b">
        <v>1</v>
      </c>
    </row>
    <row r="78" spans="1:11" x14ac:dyDescent="0.25">
      <c r="A78" s="16" t="s">
        <v>47</v>
      </c>
      <c r="B78" s="17" t="s">
        <v>12</v>
      </c>
      <c r="C78" s="8">
        <v>3828</v>
      </c>
      <c r="D78" s="8">
        <v>0.8927569861787138</v>
      </c>
      <c r="E78" s="8">
        <v>0.25606000000000001</v>
      </c>
      <c r="F78" s="8">
        <v>0.96087309877188121</v>
      </c>
      <c r="G78" s="8">
        <v>-0.10309599999999999</v>
      </c>
      <c r="H78" s="8">
        <v>6.8116112593167411E-2</v>
      </c>
      <c r="I78" s="8">
        <v>-0.35915600000000003</v>
      </c>
      <c r="J78" s="8">
        <v>0.42727211259316744</v>
      </c>
      <c r="K78" s="9" t="b">
        <v>1</v>
      </c>
    </row>
    <row r="79" spans="1:11" x14ac:dyDescent="0.25">
      <c r="A79" s="18" t="s">
        <v>48</v>
      </c>
      <c r="B79" s="19" t="s">
        <v>12</v>
      </c>
      <c r="C79" s="10">
        <v>3828</v>
      </c>
      <c r="D79" s="10">
        <v>0.68613473431752969</v>
      </c>
      <c r="E79" s="10">
        <v>4.3750000000000004E-3</v>
      </c>
      <c r="F79" s="10">
        <v>0.5761071299859245</v>
      </c>
      <c r="G79" s="10">
        <v>-7.4530000000000004E-3</v>
      </c>
      <c r="H79" s="10">
        <v>-0.11002760433160519</v>
      </c>
      <c r="I79" s="10">
        <v>-1.1828000000000002E-2</v>
      </c>
      <c r="J79" s="10">
        <v>-9.8199604331605184E-2</v>
      </c>
      <c r="K79" s="11" t="b">
        <v>1</v>
      </c>
    </row>
    <row r="80" spans="1:11" x14ac:dyDescent="0.25">
      <c r="A80" s="16" t="s">
        <v>49</v>
      </c>
      <c r="B80" s="17" t="s">
        <v>12</v>
      </c>
      <c r="C80" s="8">
        <v>3828</v>
      </c>
      <c r="D80" s="8">
        <v>0.52706150660195961</v>
      </c>
      <c r="E80" s="8">
        <v>-5.7009999999999998E-2</v>
      </c>
      <c r="F80" s="8">
        <v>0.56973293756877497</v>
      </c>
      <c r="G80" s="8">
        <v>7.9455999999999999E-2</v>
      </c>
      <c r="H80" s="8">
        <v>4.267143096681536E-2</v>
      </c>
      <c r="I80" s="8">
        <v>0.136466</v>
      </c>
      <c r="J80" s="8">
        <v>-9.3794569033184644E-2</v>
      </c>
      <c r="K80" s="9" t="b">
        <v>1</v>
      </c>
    </row>
    <row r="81" spans="1:11" x14ac:dyDescent="0.25">
      <c r="A81" s="18" t="s">
        <v>51</v>
      </c>
      <c r="B81" s="19" t="s">
        <v>12</v>
      </c>
      <c r="C81" s="10">
        <v>3828</v>
      </c>
      <c r="D81" s="10">
        <v>0.57615968189929156</v>
      </c>
      <c r="E81" s="10">
        <v>0.17669499999999999</v>
      </c>
      <c r="F81" s="10">
        <v>0.51106339393051126</v>
      </c>
      <c r="G81" s="10">
        <v>-1.6920000000000001E-2</v>
      </c>
      <c r="H81" s="10">
        <v>-6.5096287968780309E-2</v>
      </c>
      <c r="I81" s="10">
        <v>-0.19361499999999998</v>
      </c>
      <c r="J81" s="10">
        <v>0.12851871203121967</v>
      </c>
      <c r="K81" s="11" t="b">
        <v>1</v>
      </c>
    </row>
    <row r="83" spans="1:11" x14ac:dyDescent="0.25">
      <c r="C83" t="s">
        <v>52</v>
      </c>
      <c r="D83">
        <f>MIN(D44:D81)</f>
        <v>-0.392742591968193</v>
      </c>
      <c r="E83">
        <f t="shared" ref="E83:J83" si="0">MIN(E44:E81)</f>
        <v>-0.168438</v>
      </c>
      <c r="F83">
        <f t="shared" si="0"/>
        <v>-0.48428075273670212</v>
      </c>
      <c r="G83">
        <f t="shared" si="0"/>
        <v>-0.25957200000000002</v>
      </c>
      <c r="H83">
        <f t="shared" si="0"/>
        <v>-0.17667037875186908</v>
      </c>
      <c r="I83">
        <f t="shared" si="0"/>
        <v>-0.57250800000000002</v>
      </c>
      <c r="J83">
        <f t="shared" si="0"/>
        <v>-0.21189901042743453</v>
      </c>
    </row>
    <row r="84" spans="1:11" x14ac:dyDescent="0.25">
      <c r="C84" t="s">
        <v>53</v>
      </c>
      <c r="D84">
        <f>MAX(D44:D81)</f>
        <v>2</v>
      </c>
      <c r="E84">
        <f t="shared" ref="E84:J84" si="1">MAX(E44:E81)</f>
        <v>0.35854399999999997</v>
      </c>
      <c r="F84">
        <f t="shared" si="1"/>
        <v>1.954574139272681</v>
      </c>
      <c r="G84">
        <f t="shared" si="1"/>
        <v>0.217226</v>
      </c>
      <c r="H84">
        <f t="shared" si="1"/>
        <v>0.11440871596503033</v>
      </c>
      <c r="I84">
        <f t="shared" si="1"/>
        <v>0.31131500000000001</v>
      </c>
      <c r="J84">
        <f t="shared" si="1"/>
        <v>0.48542586009327982</v>
      </c>
    </row>
    <row r="85" spans="1:11" x14ac:dyDescent="0.25">
      <c r="C85" t="s">
        <v>54</v>
      </c>
      <c r="D85">
        <f>D84-D83</f>
        <v>2.3927425919681928</v>
      </c>
      <c r="E85">
        <f t="shared" ref="E85:J85" si="2">E84-E83</f>
        <v>0.52698199999999995</v>
      </c>
      <c r="F85">
        <f t="shared" si="2"/>
        <v>2.4388548920093829</v>
      </c>
      <c r="G85">
        <f t="shared" si="2"/>
        <v>0.47679800000000006</v>
      </c>
      <c r="H85">
        <f t="shared" si="2"/>
        <v>0.29107909471689941</v>
      </c>
      <c r="I85">
        <f t="shared" si="2"/>
        <v>0.88382300000000003</v>
      </c>
      <c r="J85">
        <f t="shared" si="2"/>
        <v>0.69732487052071435</v>
      </c>
    </row>
    <row r="88" spans="1:11" x14ac:dyDescent="0.25">
      <c r="D88" s="7" t="s">
        <v>3</v>
      </c>
      <c r="E88" s="7" t="s">
        <v>4</v>
      </c>
      <c r="F88" s="7" t="s">
        <v>5</v>
      </c>
      <c r="G88" s="7" t="s">
        <v>6</v>
      </c>
      <c r="H88" s="7" t="s">
        <v>7</v>
      </c>
      <c r="I88" s="7" t="s">
        <v>8</v>
      </c>
      <c r="J88" s="7" t="s">
        <v>9</v>
      </c>
    </row>
    <row r="89" spans="1:11" x14ac:dyDescent="0.25">
      <c r="C89" s="16" t="s">
        <v>11</v>
      </c>
      <c r="D89">
        <f>(D44-D$83)/D$85</f>
        <v>0.47598883635711142</v>
      </c>
      <c r="E89">
        <f t="shared" ref="E89:J89" si="3">(E44-E$83)/E$85</f>
        <v>0.32681192146980359</v>
      </c>
      <c r="F89">
        <f t="shared" si="3"/>
        <v>0.48296046381079866</v>
      </c>
      <c r="G89">
        <f t="shared" si="3"/>
        <v>0.57748774113985368</v>
      </c>
      <c r="H89">
        <f t="shared" si="3"/>
        <v>0.42628944501524846</v>
      </c>
      <c r="I89">
        <f t="shared" si="3"/>
        <v>0.66132585370600216</v>
      </c>
      <c r="J89">
        <f t="shared" si="3"/>
        <v>0.21127251249186169</v>
      </c>
    </row>
    <row r="90" spans="1:11" x14ac:dyDescent="0.25">
      <c r="C90" s="18" t="s">
        <v>13</v>
      </c>
      <c r="D90">
        <f t="shared" ref="D90:J90" si="4">(D45-D$83)/D$85</f>
        <v>0.34534291847398202</v>
      </c>
      <c r="E90">
        <f t="shared" si="4"/>
        <v>0.4026418359640368</v>
      </c>
      <c r="F90">
        <f t="shared" si="4"/>
        <v>0.34954906714013179</v>
      </c>
      <c r="G90">
        <f t="shared" si="4"/>
        <v>0.62798921136414165</v>
      </c>
      <c r="H90">
        <f t="shared" si="4"/>
        <v>0.38242169406344462</v>
      </c>
      <c r="I90">
        <f t="shared" si="4"/>
        <v>0.64335619235978247</v>
      </c>
      <c r="J90">
        <f t="shared" si="4"/>
        <v>0.21573673698360818</v>
      </c>
    </row>
    <row r="91" spans="1:11" x14ac:dyDescent="0.25">
      <c r="C91" s="16" t="s">
        <v>14</v>
      </c>
      <c r="D91">
        <f t="shared" ref="D91:J91" si="5">(D46-D$83)/D$85</f>
        <v>0.51907737554492728</v>
      </c>
      <c r="E91">
        <f t="shared" si="5"/>
        <v>0.503516249131849</v>
      </c>
      <c r="F91">
        <f t="shared" si="5"/>
        <v>0.50968156098300732</v>
      </c>
      <c r="G91">
        <f t="shared" si="5"/>
        <v>0.57026665380307806</v>
      </c>
      <c r="H91">
        <f t="shared" si="5"/>
        <v>0.29597811359184423</v>
      </c>
      <c r="I91">
        <f t="shared" si="5"/>
        <v>0.5520698148837494</v>
      </c>
      <c r="J91">
        <f t="shared" si="5"/>
        <v>0.29535397594825502</v>
      </c>
    </row>
    <row r="92" spans="1:11" x14ac:dyDescent="0.25">
      <c r="C92" s="18" t="s">
        <v>15</v>
      </c>
      <c r="D92">
        <f t="shared" ref="D92:J92" si="6">(D47-D$83)/D$85</f>
        <v>0.29470896774101885</v>
      </c>
      <c r="E92">
        <f t="shared" si="6"/>
        <v>0.4238114394799064</v>
      </c>
      <c r="F92">
        <f t="shared" si="6"/>
        <v>0.30457246604193028</v>
      </c>
      <c r="G92">
        <f t="shared" si="6"/>
        <v>0.27802759239761909</v>
      </c>
      <c r="H92">
        <f t="shared" si="6"/>
        <v>0.42180139226961511</v>
      </c>
      <c r="I92">
        <f t="shared" si="6"/>
        <v>0.44193916655257898</v>
      </c>
      <c r="J92">
        <f t="shared" si="6"/>
        <v>0.48746031219839503</v>
      </c>
    </row>
    <row r="93" spans="1:11" x14ac:dyDescent="0.25">
      <c r="C93" s="16" t="s">
        <v>16</v>
      </c>
      <c r="D93">
        <f t="shared" ref="D93:J93" si="7">(D48-D$83)/D$85</f>
        <v>0.18421946898065661</v>
      </c>
      <c r="E93">
        <f t="shared" si="7"/>
        <v>0.40744845174977523</v>
      </c>
      <c r="F93">
        <f t="shared" si="7"/>
        <v>0.19358614879996727</v>
      </c>
      <c r="G93">
        <f t="shared" si="7"/>
        <v>0.54334539993875808</v>
      </c>
      <c r="H93">
        <f t="shared" si="7"/>
        <v>0.40013513997944283</v>
      </c>
      <c r="I93">
        <f t="shared" si="7"/>
        <v>0.59482724482164417</v>
      </c>
      <c r="J93">
        <f t="shared" si="7"/>
        <v>0.28463864459184723</v>
      </c>
    </row>
    <row r="94" spans="1:11" x14ac:dyDescent="0.25">
      <c r="C94" s="18" t="s">
        <v>17</v>
      </c>
      <c r="D94">
        <f t="shared" ref="D94:J94" si="8">(D49-D$83)/D$85</f>
        <v>0.463661382899696</v>
      </c>
      <c r="E94">
        <f t="shared" si="8"/>
        <v>0.65278130941853807</v>
      </c>
      <c r="F94">
        <f t="shared" si="8"/>
        <v>0.46230780194170401</v>
      </c>
      <c r="G94">
        <f t="shared" si="8"/>
        <v>0.62043464947420079</v>
      </c>
      <c r="H94">
        <f t="shared" si="8"/>
        <v>0.35458239743529851</v>
      </c>
      <c r="I94">
        <f t="shared" si="8"/>
        <v>0.49013433685251462</v>
      </c>
      <c r="J94">
        <f t="shared" si="8"/>
        <v>0.39831671960326143</v>
      </c>
    </row>
    <row r="95" spans="1:11" x14ac:dyDescent="0.25">
      <c r="C95" s="16" t="s">
        <v>18</v>
      </c>
      <c r="D95">
        <f t="shared" ref="D95:J95" si="9">(D50-D$83)/D$85</f>
        <v>0.6776472007371539</v>
      </c>
      <c r="E95">
        <f t="shared" si="9"/>
        <v>0.58387573010083837</v>
      </c>
      <c r="F95">
        <f t="shared" si="9"/>
        <v>0.67536516536602498</v>
      </c>
      <c r="G95">
        <f t="shared" si="9"/>
        <v>1</v>
      </c>
      <c r="H95">
        <f t="shared" si="9"/>
        <v>0.38070248914641303</v>
      </c>
      <c r="I95">
        <f t="shared" si="9"/>
        <v>0.73598446747821689</v>
      </c>
      <c r="J95">
        <f t="shared" si="9"/>
        <v>9.7617581776400272E-2</v>
      </c>
    </row>
    <row r="96" spans="1:11" x14ac:dyDescent="0.25">
      <c r="C96" s="18" t="s">
        <v>19</v>
      </c>
      <c r="D96">
        <f t="shared" ref="D96:J96" si="10">(D51-D$83)/D$85</f>
        <v>0.49676865802029219</v>
      </c>
      <c r="E96">
        <f t="shared" si="10"/>
        <v>0.69832555950677644</v>
      </c>
      <c r="F96">
        <f t="shared" si="10"/>
        <v>0.5173897677480167</v>
      </c>
      <c r="G96">
        <f t="shared" si="10"/>
        <v>0</v>
      </c>
      <c r="H96">
        <f t="shared" si="10"/>
        <v>0.54394582299070904</v>
      </c>
      <c r="I96">
        <f t="shared" si="10"/>
        <v>0.1282711583654193</v>
      </c>
      <c r="J96">
        <f t="shared" si="10"/>
        <v>0.93600403054511605</v>
      </c>
    </row>
    <row r="97" spans="3:10" x14ac:dyDescent="0.25">
      <c r="C97" s="16" t="s">
        <v>20</v>
      </c>
      <c r="D97">
        <f t="shared" ref="D97:J97" si="11">(D52-D$83)/D$85</f>
        <v>0.33208869775804128</v>
      </c>
      <c r="E97">
        <f t="shared" si="11"/>
        <v>0.37894463188496008</v>
      </c>
      <c r="F97">
        <f t="shared" si="11"/>
        <v>0.34402546985726468</v>
      </c>
      <c r="G97">
        <f t="shared" si="11"/>
        <v>0.69617322220311317</v>
      </c>
      <c r="H97">
        <f t="shared" si="11"/>
        <v>0.44509430266596556</v>
      </c>
      <c r="I97">
        <f t="shared" si="11"/>
        <v>0.69426910139247333</v>
      </c>
      <c r="J97">
        <f t="shared" si="11"/>
        <v>0.17736823048755759</v>
      </c>
    </row>
    <row r="98" spans="3:10" x14ac:dyDescent="0.25">
      <c r="C98" s="18" t="s">
        <v>21</v>
      </c>
      <c r="D98">
        <f t="shared" ref="D98:J98" si="12">(D53-D$83)/D$85</f>
        <v>0.75208911842510462</v>
      </c>
      <c r="E98">
        <f t="shared" si="12"/>
        <v>0.65298435240672359</v>
      </c>
      <c r="F98">
        <f t="shared" si="12"/>
        <v>0.79163806166721873</v>
      </c>
      <c r="G98">
        <f t="shared" si="12"/>
        <v>0.89086153884873676</v>
      </c>
      <c r="H98">
        <f t="shared" si="12"/>
        <v>0.7429833151709605</v>
      </c>
      <c r="I98">
        <f t="shared" si="12"/>
        <v>0.63590107974107946</v>
      </c>
      <c r="J98">
        <f t="shared" si="12"/>
        <v>0.37569223975858057</v>
      </c>
    </row>
    <row r="99" spans="3:10" x14ac:dyDescent="0.25">
      <c r="C99" s="16" t="s">
        <v>22</v>
      </c>
      <c r="D99">
        <f t="shared" ref="D99:J99" si="13">(D54-D$83)/D$85</f>
        <v>0.57778119997257238</v>
      </c>
      <c r="E99">
        <f t="shared" si="13"/>
        <v>0.28969490419027599</v>
      </c>
      <c r="F99">
        <f t="shared" si="13"/>
        <v>0.61658578313004586</v>
      </c>
      <c r="G99">
        <f t="shared" si="13"/>
        <v>0.82903661508647264</v>
      </c>
      <c r="H99">
        <f t="shared" si="13"/>
        <v>0.70913297879189618</v>
      </c>
      <c r="I99">
        <f t="shared" si="13"/>
        <v>0.8191606237900575</v>
      </c>
      <c r="J99">
        <f t="shared" si="13"/>
        <v>0.12929040822663537</v>
      </c>
    </row>
    <row r="100" spans="3:10" x14ac:dyDescent="0.25">
      <c r="C100" s="18" t="s">
        <v>23</v>
      </c>
      <c r="D100">
        <f t="shared" ref="D100:J100" si="14">(D55-D$83)/D$85</f>
        <v>0.28987917741329067</v>
      </c>
      <c r="E100">
        <f t="shared" si="14"/>
        <v>0.26977012497580566</v>
      </c>
      <c r="F100">
        <f t="shared" si="14"/>
        <v>0.36432399060078763</v>
      </c>
      <c r="G100">
        <f t="shared" si="14"/>
        <v>0.19903187513370449</v>
      </c>
      <c r="H100">
        <f t="shared" si="14"/>
        <v>0.96214161545118682</v>
      </c>
      <c r="I100">
        <f t="shared" si="14"/>
        <v>0.49117074346334055</v>
      </c>
      <c r="J100">
        <f t="shared" si="14"/>
        <v>0.65061201926122192</v>
      </c>
    </row>
    <row r="101" spans="3:10" x14ac:dyDescent="0.25">
      <c r="C101" s="16" t="s">
        <v>24</v>
      </c>
      <c r="D101">
        <f t="shared" ref="D101:J101" si="15">(D56-D$83)/D$85</f>
        <v>0.21240568973703988</v>
      </c>
      <c r="E101">
        <f t="shared" si="15"/>
        <v>0.48838670011499452</v>
      </c>
      <c r="F101">
        <f t="shared" si="15"/>
        <v>0.20682815930017914</v>
      </c>
      <c r="G101">
        <f t="shared" si="15"/>
        <v>0.41884613609956417</v>
      </c>
      <c r="H101">
        <f t="shared" si="15"/>
        <v>0.27938779171618655</v>
      </c>
      <c r="I101">
        <f t="shared" si="15"/>
        <v>0.47940368150636498</v>
      </c>
      <c r="J101">
        <f t="shared" si="15"/>
        <v>0.38052934633626301</v>
      </c>
    </row>
    <row r="102" spans="3:10" x14ac:dyDescent="0.25">
      <c r="C102" s="18" t="s">
        <v>25</v>
      </c>
      <c r="D102">
        <f t="shared" ref="D102:J102" si="16">(D57-D$83)/D$85</f>
        <v>0.41577028646307335</v>
      </c>
      <c r="E102">
        <f t="shared" si="16"/>
        <v>0.63664034065679664</v>
      </c>
      <c r="F102">
        <f t="shared" si="16"/>
        <v>0.40330273723091875</v>
      </c>
      <c r="G102">
        <f t="shared" si="16"/>
        <v>0.67870251133603743</v>
      </c>
      <c r="H102">
        <f t="shared" si="16"/>
        <v>0.25387532147102787</v>
      </c>
      <c r="I102">
        <f t="shared" si="16"/>
        <v>0.53119233149623846</v>
      </c>
      <c r="J102">
        <f t="shared" si="16"/>
        <v>0.30424044715613208</v>
      </c>
    </row>
    <row r="103" spans="3:10" x14ac:dyDescent="0.25">
      <c r="C103" s="16" t="s">
        <v>26</v>
      </c>
      <c r="D103">
        <f t="shared" ref="D103:J103" si="17">(D58-D$83)/D$85</f>
        <v>0.227658750000161</v>
      </c>
      <c r="E103">
        <f t="shared" si="17"/>
        <v>0.3649517440823406</v>
      </c>
      <c r="F103">
        <f t="shared" si="17"/>
        <v>0.29830344711889706</v>
      </c>
      <c r="G103">
        <f t="shared" si="17"/>
        <v>0.57382581302773927</v>
      </c>
      <c r="H103">
        <f t="shared" si="17"/>
        <v>0.92044484332857646</v>
      </c>
      <c r="I103">
        <f t="shared" si="17"/>
        <v>0.63660936635502807</v>
      </c>
      <c r="J103">
        <f t="shared" si="17"/>
        <v>0.44887095906209712</v>
      </c>
    </row>
    <row r="104" spans="3:10" x14ac:dyDescent="0.25">
      <c r="C104" s="18" t="s">
        <v>27</v>
      </c>
      <c r="D104">
        <f t="shared" ref="D104:J104" si="18">(D59-D$83)/D$85</f>
        <v>0.48014990251175116</v>
      </c>
      <c r="E104">
        <f t="shared" si="18"/>
        <v>0.31059884398328597</v>
      </c>
      <c r="F104">
        <f t="shared" si="18"/>
        <v>0.46720176545769504</v>
      </c>
      <c r="G104">
        <f t="shared" si="18"/>
        <v>0.5887944160839601</v>
      </c>
      <c r="H104">
        <f t="shared" si="18"/>
        <v>0.26004755521744649</v>
      </c>
      <c r="I104">
        <f t="shared" si="18"/>
        <v>0.67709258528008431</v>
      </c>
      <c r="J104">
        <f t="shared" si="18"/>
        <v>0.12189589418792671</v>
      </c>
    </row>
    <row r="105" spans="3:10" x14ac:dyDescent="0.25">
      <c r="C105" s="16" t="s">
        <v>28</v>
      </c>
      <c r="D105">
        <f t="shared" ref="D105:J105" si="19">(D60-D$83)/D$85</f>
        <v>0.6236165112925639</v>
      </c>
      <c r="E105">
        <f t="shared" si="19"/>
        <v>0.37894652948298052</v>
      </c>
      <c r="F105">
        <f t="shared" si="19"/>
        <v>0.66157228457757089</v>
      </c>
      <c r="G105">
        <f t="shared" si="19"/>
        <v>0.49628354145780812</v>
      </c>
      <c r="H105">
        <f t="shared" si="19"/>
        <v>0.70928224240789062</v>
      </c>
      <c r="I105">
        <f t="shared" si="19"/>
        <v>0.58643303014291315</v>
      </c>
      <c r="J105">
        <f t="shared" si="19"/>
        <v>0.42432283316307889</v>
      </c>
    </row>
    <row r="106" spans="3:10" x14ac:dyDescent="0.25">
      <c r="C106" s="18" t="s">
        <v>29</v>
      </c>
      <c r="D106">
        <f t="shared" ref="D106:J106" si="20">(D61-D$83)/D$85</f>
        <v>0.57504288644705948</v>
      </c>
      <c r="E106">
        <f t="shared" si="20"/>
        <v>0.91368206124687379</v>
      </c>
      <c r="F106">
        <f t="shared" si="20"/>
        <v>0.56599744084597481</v>
      </c>
      <c r="G106">
        <f t="shared" si="20"/>
        <v>2.5167890804912978E-4</v>
      </c>
      <c r="H106">
        <f t="shared" si="20"/>
        <v>0.30777970823456591</v>
      </c>
      <c r="I106">
        <f t="shared" si="20"/>
        <v>0</v>
      </c>
      <c r="J106">
        <f t="shared" si="20"/>
        <v>1</v>
      </c>
    </row>
    <row r="107" spans="3:10" x14ac:dyDescent="0.25">
      <c r="C107" s="16" t="s">
        <v>30</v>
      </c>
      <c r="D107">
        <f t="shared" ref="D107:J107" si="21">(D62-D$83)/D$85</f>
        <v>0.24260537946578178</v>
      </c>
      <c r="E107">
        <f t="shared" si="21"/>
        <v>0.49828646898755558</v>
      </c>
      <c r="F107">
        <f t="shared" si="21"/>
        <v>0.3091066066392304</v>
      </c>
      <c r="G107">
        <f t="shared" si="21"/>
        <v>0.69777767524192635</v>
      </c>
      <c r="H107">
        <f t="shared" si="21"/>
        <v>0.88809590912362124</v>
      </c>
      <c r="I107">
        <f t="shared" si="21"/>
        <v>0.62397674647525581</v>
      </c>
      <c r="J107">
        <f t="shared" si="21"/>
        <v>0.45137897446567671</v>
      </c>
    </row>
    <row r="108" spans="3:10" x14ac:dyDescent="0.25">
      <c r="C108" s="18" t="s">
        <v>31</v>
      </c>
      <c r="D108">
        <f t="shared" ref="D108:J108" si="22">(D63-D$83)/D$85</f>
        <v>9.0287118360494995E-2</v>
      </c>
      <c r="E108">
        <f t="shared" si="22"/>
        <v>0.35069509015488198</v>
      </c>
      <c r="F108">
        <f t="shared" si="22"/>
        <v>7.8094840563221024E-2</v>
      </c>
      <c r="G108">
        <f t="shared" si="22"/>
        <v>0.77754730514809201</v>
      </c>
      <c r="H108">
        <f t="shared" si="22"/>
        <v>0.20461918909828392</v>
      </c>
      <c r="I108">
        <f t="shared" si="22"/>
        <v>0.75501203295229924</v>
      </c>
      <c r="J108">
        <f t="shared" si="22"/>
        <v>0</v>
      </c>
    </row>
    <row r="109" spans="3:10" x14ac:dyDescent="0.25">
      <c r="C109" s="16" t="s">
        <v>32</v>
      </c>
      <c r="D109">
        <f t="shared" ref="D109:J109" si="23">(D64-D$83)/D$85</f>
        <v>0.83454226060839776</v>
      </c>
      <c r="E109">
        <f t="shared" si="23"/>
        <v>0.95925667290343897</v>
      </c>
      <c r="F109">
        <f t="shared" si="23"/>
        <v>0.79089050040757625</v>
      </c>
      <c r="G109">
        <f t="shared" si="23"/>
        <v>0.62134698551587886</v>
      </c>
      <c r="H109">
        <f t="shared" si="23"/>
        <v>5.893440134434158E-2</v>
      </c>
      <c r="I109">
        <f t="shared" si="23"/>
        <v>0.30788970189732562</v>
      </c>
      <c r="J109">
        <f t="shared" si="23"/>
        <v>0.50589218709944117</v>
      </c>
    </row>
    <row r="110" spans="3:10" x14ac:dyDescent="0.25">
      <c r="C110" s="18" t="s">
        <v>33</v>
      </c>
      <c r="D110">
        <f t="shared" ref="D110:J110" si="24">(D65-D$83)/D$85</f>
        <v>0.62917001710912734</v>
      </c>
      <c r="E110">
        <f t="shared" si="24"/>
        <v>0.83425619850393373</v>
      </c>
      <c r="F110">
        <f t="shared" si="24"/>
        <v>0.58236743981631733</v>
      </c>
      <c r="G110">
        <f t="shared" si="24"/>
        <v>0.74827075616927918</v>
      </c>
      <c r="H110">
        <f t="shared" si="24"/>
        <v>0</v>
      </c>
      <c r="I110">
        <f t="shared" si="24"/>
        <v>0.45089344812253135</v>
      </c>
      <c r="J110">
        <f t="shared" si="24"/>
        <v>0.3000418320363783</v>
      </c>
    </row>
    <row r="111" spans="3:10" x14ac:dyDescent="0.25">
      <c r="C111" s="16" t="s">
        <v>34</v>
      </c>
      <c r="D111">
        <f t="shared" ref="D111:J111" si="25">(D66-D$83)/D$85</f>
        <v>0.69527616251007984</v>
      </c>
      <c r="E111">
        <f t="shared" si="25"/>
        <v>0.38047409588942321</v>
      </c>
      <c r="F111">
        <f t="shared" si="25"/>
        <v>0.71998590715873567</v>
      </c>
      <c r="G111">
        <f t="shared" si="25"/>
        <v>0.55181020054614316</v>
      </c>
      <c r="H111">
        <f t="shared" si="25"/>
        <v>0.60965038657201176</v>
      </c>
      <c r="I111">
        <f t="shared" si="25"/>
        <v>0.61547730710787119</v>
      </c>
      <c r="J111">
        <f t="shared" si="25"/>
        <v>0.34592214402539201</v>
      </c>
    </row>
    <row r="112" spans="3:10" x14ac:dyDescent="0.25">
      <c r="C112" s="18" t="s">
        <v>35</v>
      </c>
      <c r="D112">
        <f t="shared" ref="D112:J112" si="26">(D67-D$83)/D$85</f>
        <v>0.65768860849739774</v>
      </c>
      <c r="E112">
        <f t="shared" si="26"/>
        <v>0.78574600270977002</v>
      </c>
      <c r="F112">
        <f t="shared" si="26"/>
        <v>0.67311791707138369</v>
      </c>
      <c r="G112">
        <f t="shared" si="26"/>
        <v>0.71201640946480471</v>
      </c>
      <c r="H112">
        <f t="shared" si="26"/>
        <v>0.52593813814401957</v>
      </c>
      <c r="I112">
        <f t="shared" si="26"/>
        <v>0.46025957686097785</v>
      </c>
      <c r="J112">
        <f t="shared" si="26"/>
        <v>0.50770916651695897</v>
      </c>
    </row>
    <row r="113" spans="3:10" x14ac:dyDescent="0.25">
      <c r="C113" s="16" t="s">
        <v>36</v>
      </c>
      <c r="D113">
        <f t="shared" ref="D113:J113" si="27">(D68-D$83)/D$85</f>
        <v>0</v>
      </c>
      <c r="E113">
        <f t="shared" si="27"/>
        <v>0.47392890079737071</v>
      </c>
      <c r="F113">
        <f t="shared" si="27"/>
        <v>0</v>
      </c>
      <c r="G113">
        <f t="shared" si="27"/>
        <v>0.85805938783300262</v>
      </c>
      <c r="H113">
        <f t="shared" si="27"/>
        <v>0.29247108270059274</v>
      </c>
      <c r="I113">
        <f t="shared" si="27"/>
        <v>0.72496755572099847</v>
      </c>
      <c r="J113">
        <f t="shared" si="27"/>
        <v>7.4751169594741984E-2</v>
      </c>
    </row>
    <row r="114" spans="3:10" x14ac:dyDescent="0.25">
      <c r="C114" s="18" t="s">
        <v>37</v>
      </c>
      <c r="D114">
        <f t="shared" ref="D114:J114" si="28">(D69-D$83)/D$85</f>
        <v>0.39844821885354559</v>
      </c>
      <c r="E114">
        <f t="shared" si="28"/>
        <v>0.16238125780387189</v>
      </c>
      <c r="F114">
        <f t="shared" si="28"/>
        <v>0.43620907597373776</v>
      </c>
      <c r="G114">
        <f t="shared" si="28"/>
        <v>0.64494607779395052</v>
      </c>
      <c r="H114">
        <f t="shared" si="28"/>
        <v>0.67197829203879389</v>
      </c>
      <c r="I114">
        <f t="shared" si="28"/>
        <v>0.79576001077138747</v>
      </c>
      <c r="J114">
        <f t="shared" si="28"/>
        <v>0.14344026553496425</v>
      </c>
    </row>
    <row r="115" spans="3:10" x14ac:dyDescent="0.25">
      <c r="C115" s="16" t="s">
        <v>38</v>
      </c>
      <c r="D115">
        <f t="shared" ref="D115:J115" si="29">(D70-D$83)/D$85</f>
        <v>0.45017963542566775</v>
      </c>
      <c r="E115">
        <f t="shared" si="29"/>
        <v>0</v>
      </c>
      <c r="F115">
        <f t="shared" si="29"/>
        <v>0.52611201619957282</v>
      </c>
      <c r="G115">
        <f t="shared" si="29"/>
        <v>0.84406604054547207</v>
      </c>
      <c r="H115">
        <f t="shared" si="29"/>
        <v>1</v>
      </c>
      <c r="I115">
        <f t="shared" si="29"/>
        <v>1</v>
      </c>
      <c r="J115">
        <f t="shared" si="29"/>
        <v>2.1500346576294217E-2</v>
      </c>
    </row>
    <row r="116" spans="3:10" x14ac:dyDescent="0.25">
      <c r="C116" s="18" t="s">
        <v>39</v>
      </c>
      <c r="D116">
        <f t="shared" ref="D116:J116" si="30">(D71-D$83)/D$85</f>
        <v>0.73187495496311128</v>
      </c>
      <c r="E116">
        <f t="shared" si="30"/>
        <v>0.44025222872887504</v>
      </c>
      <c r="F116">
        <f t="shared" si="30"/>
        <v>0.76885518264816277</v>
      </c>
      <c r="G116">
        <f t="shared" si="30"/>
        <v>0.62338768199531025</v>
      </c>
      <c r="H116">
        <f t="shared" si="30"/>
        <v>0.71825860562023325</v>
      </c>
      <c r="I116">
        <f t="shared" si="30"/>
        <v>0.61844849025200754</v>
      </c>
      <c r="J116">
        <f t="shared" si="30"/>
        <v>0.38749183887612221</v>
      </c>
    </row>
    <row r="117" spans="3:10" x14ac:dyDescent="0.25">
      <c r="C117" s="16" t="s">
        <v>41</v>
      </c>
      <c r="D117">
        <f t="shared" ref="D117:J117" si="31">(D72-D$83)/D$85</f>
        <v>0.68235271755526794</v>
      </c>
      <c r="E117">
        <f t="shared" si="31"/>
        <v>0.37394066590509739</v>
      </c>
      <c r="F117">
        <f t="shared" si="31"/>
        <v>0.69558873392137266</v>
      </c>
      <c r="G117">
        <f t="shared" si="31"/>
        <v>0.66917436734214486</v>
      </c>
      <c r="H117">
        <f t="shared" si="31"/>
        <v>0.51146852246183361</v>
      </c>
      <c r="I117">
        <f t="shared" si="31"/>
        <v>0.68268759695097314</v>
      </c>
      <c r="J117">
        <f t="shared" si="31"/>
        <v>0.21975327806036435</v>
      </c>
    </row>
    <row r="118" spans="3:10" x14ac:dyDescent="0.25">
      <c r="C118" s="18" t="s">
        <v>42</v>
      </c>
      <c r="D118">
        <f t="shared" ref="D118:J118" si="32">(D73-D$83)/D$85</f>
        <v>1</v>
      </c>
      <c r="E118">
        <f t="shared" si="32"/>
        <v>1</v>
      </c>
      <c r="F118">
        <f t="shared" si="32"/>
        <v>0.96511965799488386</v>
      </c>
      <c r="G118">
        <f t="shared" si="32"/>
        <v>0.84995742431805499</v>
      </c>
      <c r="H118">
        <f t="shared" si="32"/>
        <v>0.15863875533666449</v>
      </c>
      <c r="I118">
        <f t="shared" si="32"/>
        <v>0.40692536854098615</v>
      </c>
      <c r="J118">
        <f t="shared" si="32"/>
        <v>0.42198847252678939</v>
      </c>
    </row>
    <row r="119" spans="3:10" x14ac:dyDescent="0.25">
      <c r="C119" s="16" t="s">
        <v>43</v>
      </c>
      <c r="D119">
        <f t="shared" ref="D119:J119" si="33">(D74-D$83)/D$85</f>
        <v>0.55988119205865861</v>
      </c>
      <c r="E119">
        <f t="shared" si="33"/>
        <v>0.73928141758162536</v>
      </c>
      <c r="F119">
        <f t="shared" si="33"/>
        <v>0.52502632404106253</v>
      </c>
      <c r="G119">
        <f t="shared" si="33"/>
        <v>0.20054404590623287</v>
      </c>
      <c r="H119">
        <f t="shared" si="33"/>
        <v>8.9129252477458246E-2</v>
      </c>
      <c r="I119">
        <f t="shared" si="33"/>
        <v>0.21203906211990414</v>
      </c>
      <c r="J119">
        <f t="shared" si="33"/>
        <v>0.6399818974852427</v>
      </c>
    </row>
    <row r="120" spans="3:10" x14ac:dyDescent="0.25">
      <c r="C120" s="18" t="s">
        <v>44</v>
      </c>
      <c r="D120">
        <f t="shared" ref="D120:J120" si="34">(D75-D$83)/D$85</f>
        <v>1</v>
      </c>
      <c r="E120">
        <f t="shared" si="34"/>
        <v>0.74389447836928024</v>
      </c>
      <c r="F120">
        <f t="shared" si="34"/>
        <v>1</v>
      </c>
      <c r="G120">
        <f t="shared" si="34"/>
        <v>0.67099903942550088</v>
      </c>
      <c r="H120">
        <f t="shared" si="34"/>
        <v>0.45088953623480638</v>
      </c>
      <c r="I120">
        <f t="shared" si="34"/>
        <v>0.46308593462718217</v>
      </c>
      <c r="J120">
        <f t="shared" si="34"/>
        <v>0.47279992961375633</v>
      </c>
    </row>
    <row r="121" spans="3:10" x14ac:dyDescent="0.25">
      <c r="C121" s="16" t="s">
        <v>45</v>
      </c>
      <c r="D121">
        <f t="shared" ref="D121:J121" si="35">(D76-D$83)/D$85</f>
        <v>0.46777423871846485</v>
      </c>
      <c r="E121">
        <f t="shared" si="35"/>
        <v>0.53085304621410223</v>
      </c>
      <c r="F121">
        <f t="shared" si="35"/>
        <v>0.47244677114790884</v>
      </c>
      <c r="G121">
        <f t="shared" si="35"/>
        <v>0.505524352031678</v>
      </c>
      <c r="H121">
        <f t="shared" si="35"/>
        <v>0.40572474886651688</v>
      </c>
      <c r="I121">
        <f t="shared" si="35"/>
        <v>0.50084349468162748</v>
      </c>
      <c r="J121">
        <f t="shared" si="35"/>
        <v>0.4060913876030478</v>
      </c>
    </row>
    <row r="122" spans="3:10" x14ac:dyDescent="0.25">
      <c r="C122" s="18" t="s">
        <v>46</v>
      </c>
      <c r="D122">
        <f t="shared" ref="D122:J122" si="36">(D77-D$83)/D$85</f>
        <v>1.6571969559839698E-2</v>
      </c>
      <c r="E122">
        <f t="shared" si="36"/>
        <v>0.27272278749558815</v>
      </c>
      <c r="F122">
        <f t="shared" si="36"/>
        <v>8.7506717888464355E-2</v>
      </c>
      <c r="G122">
        <f t="shared" si="36"/>
        <v>0.54329506415714834</v>
      </c>
      <c r="H122">
        <f t="shared" si="36"/>
        <v>0.88943504459671685</v>
      </c>
      <c r="I122">
        <f t="shared" si="36"/>
        <v>0.67513065398841166</v>
      </c>
      <c r="J122">
        <f t="shared" si="36"/>
        <v>0.38710304289691078</v>
      </c>
    </row>
    <row r="123" spans="3:10" x14ac:dyDescent="0.25">
      <c r="C123" s="16" t="s">
        <v>47</v>
      </c>
      <c r="D123">
        <f t="shared" ref="D123:J123" si="37">(D78-D$83)/D$85</f>
        <v>0.53724942351174365</v>
      </c>
      <c r="E123">
        <f t="shared" si="37"/>
        <v>0.80552656447468807</v>
      </c>
      <c r="F123">
        <f t="shared" si="37"/>
        <v>0.59255425824777752</v>
      </c>
      <c r="G123">
        <f t="shared" si="37"/>
        <v>0.32818090679910572</v>
      </c>
      <c r="H123">
        <f t="shared" si="37"/>
        <v>0.84096211575452839</v>
      </c>
      <c r="I123">
        <f t="shared" si="37"/>
        <v>0.24139675025429297</v>
      </c>
      <c r="J123">
        <f t="shared" si="37"/>
        <v>0.91660451253274944</v>
      </c>
    </row>
    <row r="124" spans="3:10" x14ac:dyDescent="0.25">
      <c r="C124" s="18" t="s">
        <v>48</v>
      </c>
      <c r="D124">
        <f t="shared" ref="D124:J124" si="38">(D79-D$83)/D$85</f>
        <v>0.45089569179201722</v>
      </c>
      <c r="E124">
        <f t="shared" si="38"/>
        <v>0.32792960670383431</v>
      </c>
      <c r="F124">
        <f t="shared" si="38"/>
        <v>0.43478924728029572</v>
      </c>
      <c r="G124">
        <f t="shared" si="38"/>
        <v>0.52877528848694832</v>
      </c>
      <c r="H124">
        <f t="shared" si="38"/>
        <v>0.22895074098358037</v>
      </c>
      <c r="I124">
        <f t="shared" si="38"/>
        <v>0.63438041327279338</v>
      </c>
      <c r="J124">
        <f t="shared" si="38"/>
        <v>0.16305084029331471</v>
      </c>
    </row>
    <row r="125" spans="3:10" x14ac:dyDescent="0.25">
      <c r="C125" s="16" t="s">
        <v>49</v>
      </c>
      <c r="D125">
        <f t="shared" ref="D125:J125" si="39">(D80-D$83)/D$85</f>
        <v>0.38441414536511065</v>
      </c>
      <c r="E125">
        <f t="shared" si="39"/>
        <v>0.21144555221999994</v>
      </c>
      <c r="F125">
        <f t="shared" si="39"/>
        <v>0.43217564675898806</v>
      </c>
      <c r="G125">
        <f t="shared" si="39"/>
        <v>0.71105164031728307</v>
      </c>
      <c r="H125">
        <f t="shared" si="39"/>
        <v>0.75354710695391602</v>
      </c>
      <c r="I125">
        <f t="shared" si="39"/>
        <v>0.80216740229661365</v>
      </c>
      <c r="J125">
        <f t="shared" si="39"/>
        <v>0.16936788918206458</v>
      </c>
    </row>
    <row r="126" spans="3:10" x14ac:dyDescent="0.25">
      <c r="C126" s="18" t="s">
        <v>51</v>
      </c>
      <c r="D126">
        <f t="shared" ref="D126:J126" si="40">(D81-D$83)/D$85</f>
        <v>0.40493376810352877</v>
      </c>
      <c r="E126">
        <f t="shared" si="40"/>
        <v>0.65492369758359881</v>
      </c>
      <c r="F126">
        <f t="shared" si="40"/>
        <v>0.40811946210016009</v>
      </c>
      <c r="G126">
        <f t="shared" si="40"/>
        <v>0.5089199199661073</v>
      </c>
      <c r="H126">
        <f t="shared" si="40"/>
        <v>0.38331193413805487</v>
      </c>
      <c r="I126">
        <f t="shared" si="40"/>
        <v>0.42869782750618624</v>
      </c>
      <c r="J126">
        <f t="shared" si="40"/>
        <v>0.48817665459781123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A5BE-03AC-4F5C-A097-C516ED6BC4C8}">
  <sheetPr codeName="Sheet11"/>
  <dimension ref="A1"/>
  <sheetViews>
    <sheetView workbookViewId="0">
      <selection activeCell="E52" sqref="E52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9EA48F-F659-449D-96F7-E28452F1F7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12345 0.523</vt:lpstr>
      <vt:lpstr>24690 0.495</vt:lpstr>
      <vt:lpstr>37035 0.583</vt:lpstr>
      <vt:lpstr>49380 0.394</vt:lpstr>
      <vt:lpstr>61725 0.593</vt:lpstr>
      <vt:lpstr>74070 0.463</vt:lpstr>
      <vt:lpstr>86415 0.351</vt:lpstr>
      <vt:lpstr>98760 0.675</vt:lpstr>
      <vt:lpstr>111105 0.521</vt:lpstr>
      <vt:lpstr>123450 0.361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Davidson</dc:creator>
  <cp:lastModifiedBy>Glen Davidson</cp:lastModifiedBy>
  <dcterms:created xsi:type="dcterms:W3CDTF">2026-04-11T17:22:23Z</dcterms:created>
  <dcterms:modified xsi:type="dcterms:W3CDTF">2026-04-11T19:13:39Z</dcterms:modified>
</cp:coreProperties>
</file>