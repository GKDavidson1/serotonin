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New folder\serotonin\THESIS\"/>
    </mc:Choice>
  </mc:AlternateContent>
  <xr:revisionPtr revIDLastSave="0" documentId="8_{78CE6BFD-935B-4BB9-A513-361DC4F6594D}" xr6:coauthVersionLast="47" xr6:coauthVersionMax="47" xr10:uidLastSave="{00000000-0000-0000-0000-000000000000}"/>
  <bookViews>
    <workbookView xWindow="-28920" yWindow="-120" windowWidth="29040" windowHeight="16440" xr2:uid="{2C90E502-06BA-4582-B789-DE830060AC34}"/>
  </bookViews>
  <sheets>
    <sheet name="Sheet3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W64" i="3"/>
  <c r="J64" i="3"/>
  <c r="B64" i="3"/>
  <c r="C64" i="3"/>
  <c r="D64" i="3"/>
  <c r="E64" i="3"/>
  <c r="F64" i="3"/>
  <c r="S64" i="3" s="1"/>
  <c r="G64" i="3"/>
  <c r="T64" i="3" s="1"/>
  <c r="H64" i="3"/>
  <c r="U64" i="3" s="1"/>
  <c r="I64" i="3"/>
  <c r="V64" i="3" s="1"/>
  <c r="O64" i="3"/>
  <c r="P64" i="3"/>
  <c r="Q64" i="3"/>
  <c r="R64" i="3"/>
  <c r="B65" i="3"/>
  <c r="O65" i="3" s="1"/>
  <c r="C65" i="3"/>
  <c r="P65" i="3" s="1"/>
  <c r="D65" i="3"/>
  <c r="Q65" i="3" s="1"/>
  <c r="E65" i="3"/>
  <c r="R65" i="3" s="1"/>
  <c r="F65" i="3"/>
  <c r="S65" i="3" s="1"/>
  <c r="G65" i="3"/>
  <c r="T65" i="3" s="1"/>
  <c r="H65" i="3"/>
  <c r="I65" i="3"/>
  <c r="J65" i="3"/>
  <c r="U65" i="3"/>
  <c r="V65" i="3"/>
  <c r="W65" i="3"/>
  <c r="B66" i="3"/>
  <c r="C66" i="3"/>
  <c r="D66" i="3"/>
  <c r="E66" i="3"/>
  <c r="F66" i="3"/>
  <c r="S66" i="3" s="1"/>
  <c r="G66" i="3"/>
  <c r="T66" i="3" s="1"/>
  <c r="H66" i="3"/>
  <c r="U66" i="3" s="1"/>
  <c r="I66" i="3"/>
  <c r="V66" i="3" s="1"/>
  <c r="J66" i="3"/>
  <c r="W66" i="3" s="1"/>
  <c r="O66" i="3"/>
  <c r="P66" i="3"/>
  <c r="Q66" i="3"/>
  <c r="R66" i="3"/>
  <c r="B67" i="3"/>
  <c r="O67" i="3" s="1"/>
  <c r="C67" i="3"/>
  <c r="P67" i="3" s="1"/>
  <c r="D67" i="3"/>
  <c r="Q67" i="3" s="1"/>
  <c r="E67" i="3"/>
  <c r="R67" i="3" s="1"/>
  <c r="F67" i="3"/>
  <c r="S67" i="3" s="1"/>
  <c r="G67" i="3"/>
  <c r="T67" i="3" s="1"/>
  <c r="H67" i="3"/>
  <c r="I67" i="3"/>
  <c r="J67" i="3"/>
  <c r="U67" i="3"/>
  <c r="V67" i="3"/>
  <c r="W67" i="3"/>
  <c r="B68" i="3"/>
  <c r="C68" i="3"/>
  <c r="D68" i="3"/>
  <c r="E68" i="3"/>
  <c r="F68" i="3"/>
  <c r="S68" i="3" s="1"/>
  <c r="G68" i="3"/>
  <c r="T68" i="3" s="1"/>
  <c r="H68" i="3"/>
  <c r="U68" i="3" s="1"/>
  <c r="I68" i="3"/>
  <c r="V68" i="3" s="1"/>
  <c r="J68" i="3"/>
  <c r="W68" i="3" s="1"/>
  <c r="O68" i="3"/>
  <c r="P68" i="3"/>
  <c r="Q68" i="3"/>
  <c r="R68" i="3"/>
  <c r="B69" i="3"/>
  <c r="O69" i="3" s="1"/>
  <c r="C69" i="3"/>
  <c r="P69" i="3" s="1"/>
  <c r="D69" i="3"/>
  <c r="Q69" i="3" s="1"/>
  <c r="E69" i="3"/>
  <c r="R69" i="3" s="1"/>
  <c r="F69" i="3"/>
  <c r="S69" i="3" s="1"/>
  <c r="G69" i="3"/>
  <c r="T69" i="3" s="1"/>
  <c r="H69" i="3"/>
  <c r="I69" i="3"/>
  <c r="J69" i="3"/>
  <c r="U69" i="3"/>
  <c r="V69" i="3"/>
  <c r="W69" i="3"/>
  <c r="B70" i="3"/>
  <c r="C70" i="3"/>
  <c r="D70" i="3"/>
  <c r="E70" i="3"/>
  <c r="F70" i="3"/>
  <c r="S70" i="3" s="1"/>
  <c r="G70" i="3"/>
  <c r="T70" i="3" s="1"/>
  <c r="H70" i="3"/>
  <c r="U70" i="3" s="1"/>
  <c r="I70" i="3"/>
  <c r="V70" i="3" s="1"/>
  <c r="J70" i="3"/>
  <c r="W70" i="3" s="1"/>
  <c r="O70" i="3"/>
  <c r="P70" i="3"/>
  <c r="Q70" i="3"/>
  <c r="R70" i="3"/>
  <c r="B71" i="3"/>
  <c r="C71" i="3"/>
  <c r="P71" i="3" s="1"/>
  <c r="D71" i="3"/>
  <c r="Q71" i="3" s="1"/>
  <c r="E71" i="3"/>
  <c r="R71" i="3" s="1"/>
  <c r="F71" i="3"/>
  <c r="S71" i="3" s="1"/>
  <c r="G71" i="3"/>
  <c r="T71" i="3" s="1"/>
  <c r="H71" i="3"/>
  <c r="I71" i="3"/>
  <c r="J71" i="3"/>
  <c r="O71" i="3"/>
  <c r="U71" i="3"/>
  <c r="V71" i="3"/>
  <c r="W71" i="3"/>
  <c r="B72" i="3"/>
  <c r="C72" i="3"/>
  <c r="D72" i="3"/>
  <c r="E72" i="3"/>
  <c r="F72" i="3"/>
  <c r="G72" i="3"/>
  <c r="T72" i="3" s="1"/>
  <c r="H72" i="3"/>
  <c r="I72" i="3"/>
  <c r="J72" i="3"/>
  <c r="W72" i="3" s="1"/>
  <c r="O72" i="3"/>
  <c r="P72" i="3"/>
  <c r="Q72" i="3"/>
  <c r="R72" i="3"/>
  <c r="S72" i="3"/>
  <c r="U72" i="3"/>
  <c r="V72" i="3"/>
  <c r="B73" i="3"/>
  <c r="C73" i="3"/>
  <c r="D73" i="3"/>
  <c r="Q73" i="3" s="1"/>
  <c r="E73" i="3"/>
  <c r="R73" i="3" s="1"/>
  <c r="F73" i="3"/>
  <c r="S73" i="3" s="1"/>
  <c r="G73" i="3"/>
  <c r="T73" i="3" s="1"/>
  <c r="H73" i="3"/>
  <c r="I73" i="3"/>
  <c r="J73" i="3"/>
  <c r="O73" i="3"/>
  <c r="P73" i="3"/>
  <c r="U73" i="3"/>
  <c r="V73" i="3"/>
  <c r="W73" i="3"/>
  <c r="G78" i="3"/>
  <c r="H78" i="3"/>
  <c r="G79" i="3"/>
  <c r="H79" i="3"/>
  <c r="G80" i="3"/>
  <c r="H80" i="3"/>
  <c r="G81" i="3"/>
  <c r="H81" i="3"/>
  <c r="I81" i="3"/>
  <c r="G82" i="3"/>
  <c r="H82" i="3"/>
  <c r="I82" i="3" s="1"/>
  <c r="O52" i="3"/>
  <c r="V52" i="3"/>
  <c r="W52" i="3"/>
  <c r="O53" i="3"/>
  <c r="P53" i="3"/>
  <c r="Q53" i="3"/>
  <c r="R53" i="3"/>
  <c r="P54" i="3"/>
  <c r="Q54" i="3"/>
  <c r="R54" i="3"/>
  <c r="S54" i="3"/>
  <c r="T54" i="3"/>
  <c r="U54" i="3"/>
  <c r="S55" i="3"/>
  <c r="T55" i="3"/>
  <c r="U55" i="3"/>
  <c r="V55" i="3"/>
  <c r="W55" i="3"/>
  <c r="O56" i="3"/>
  <c r="V56" i="3"/>
  <c r="W56" i="3"/>
  <c r="O57" i="3"/>
  <c r="P57" i="3"/>
  <c r="Q57" i="3"/>
  <c r="R57" i="3"/>
  <c r="P58" i="3"/>
  <c r="Q58" i="3"/>
  <c r="R58" i="3"/>
  <c r="T58" i="3"/>
  <c r="U58" i="3"/>
  <c r="S59" i="3"/>
  <c r="T59" i="3"/>
  <c r="U59" i="3"/>
  <c r="V59" i="3"/>
  <c r="W59" i="3"/>
  <c r="O60" i="3"/>
  <c r="V60" i="3"/>
  <c r="W60" i="3"/>
  <c r="P51" i="3"/>
  <c r="Q51" i="3"/>
  <c r="R51" i="3"/>
  <c r="S51" i="3"/>
  <c r="B52" i="3"/>
  <c r="C52" i="3"/>
  <c r="P52" i="3" s="1"/>
  <c r="D52" i="3"/>
  <c r="Q52" i="3" s="1"/>
  <c r="E52" i="3"/>
  <c r="R52" i="3" s="1"/>
  <c r="F52" i="3"/>
  <c r="S52" i="3" s="1"/>
  <c r="G52" i="3"/>
  <c r="T52" i="3" s="1"/>
  <c r="H52" i="3"/>
  <c r="U52" i="3" s="1"/>
  <c r="I52" i="3"/>
  <c r="J52" i="3"/>
  <c r="B53" i="3"/>
  <c r="C53" i="3"/>
  <c r="D53" i="3"/>
  <c r="E53" i="3"/>
  <c r="F53" i="3"/>
  <c r="S53" i="3" s="1"/>
  <c r="G53" i="3"/>
  <c r="T53" i="3" s="1"/>
  <c r="H53" i="3"/>
  <c r="U53" i="3" s="1"/>
  <c r="I53" i="3"/>
  <c r="V53" i="3" s="1"/>
  <c r="J53" i="3"/>
  <c r="W53" i="3" s="1"/>
  <c r="B54" i="3"/>
  <c r="O54" i="3" s="1"/>
  <c r="C54" i="3"/>
  <c r="D54" i="3"/>
  <c r="E54" i="3"/>
  <c r="F54" i="3"/>
  <c r="G54" i="3"/>
  <c r="H54" i="3"/>
  <c r="I54" i="3"/>
  <c r="V54" i="3" s="1"/>
  <c r="J54" i="3"/>
  <c r="W54" i="3" s="1"/>
  <c r="B55" i="3"/>
  <c r="O55" i="3" s="1"/>
  <c r="C55" i="3"/>
  <c r="P55" i="3" s="1"/>
  <c r="D55" i="3"/>
  <c r="Q55" i="3" s="1"/>
  <c r="E55" i="3"/>
  <c r="R55" i="3" s="1"/>
  <c r="F55" i="3"/>
  <c r="G55" i="3"/>
  <c r="H55" i="3"/>
  <c r="I55" i="3"/>
  <c r="J55" i="3"/>
  <c r="B56" i="3"/>
  <c r="C56" i="3"/>
  <c r="P56" i="3" s="1"/>
  <c r="D56" i="3"/>
  <c r="Q56" i="3" s="1"/>
  <c r="E56" i="3"/>
  <c r="R56" i="3" s="1"/>
  <c r="F56" i="3"/>
  <c r="S56" i="3" s="1"/>
  <c r="G56" i="3"/>
  <c r="T56" i="3" s="1"/>
  <c r="H56" i="3"/>
  <c r="U56" i="3" s="1"/>
  <c r="I56" i="3"/>
  <c r="J56" i="3"/>
  <c r="B57" i="3"/>
  <c r="C57" i="3"/>
  <c r="D57" i="3"/>
  <c r="E57" i="3"/>
  <c r="F57" i="3"/>
  <c r="S57" i="3" s="1"/>
  <c r="G57" i="3"/>
  <c r="T57" i="3" s="1"/>
  <c r="H57" i="3"/>
  <c r="U57" i="3" s="1"/>
  <c r="I57" i="3"/>
  <c r="V57" i="3" s="1"/>
  <c r="J57" i="3"/>
  <c r="W57" i="3" s="1"/>
  <c r="B58" i="3"/>
  <c r="O58" i="3" s="1"/>
  <c r="C58" i="3"/>
  <c r="D58" i="3"/>
  <c r="E58" i="3"/>
  <c r="F58" i="3"/>
  <c r="S58" i="3" s="1"/>
  <c r="G58" i="3"/>
  <c r="H58" i="3"/>
  <c r="I58" i="3"/>
  <c r="V58" i="3" s="1"/>
  <c r="J58" i="3"/>
  <c r="W58" i="3" s="1"/>
  <c r="B59" i="3"/>
  <c r="O59" i="3" s="1"/>
  <c r="C59" i="3"/>
  <c r="P59" i="3" s="1"/>
  <c r="D59" i="3"/>
  <c r="Q59" i="3" s="1"/>
  <c r="E59" i="3"/>
  <c r="R59" i="3" s="1"/>
  <c r="F59" i="3"/>
  <c r="G59" i="3"/>
  <c r="H59" i="3"/>
  <c r="I59" i="3"/>
  <c r="J59" i="3"/>
  <c r="B60" i="3"/>
  <c r="C60" i="3"/>
  <c r="P60" i="3" s="1"/>
  <c r="D60" i="3"/>
  <c r="Q60" i="3" s="1"/>
  <c r="E60" i="3"/>
  <c r="R60" i="3" s="1"/>
  <c r="F60" i="3"/>
  <c r="S60" i="3" s="1"/>
  <c r="G60" i="3"/>
  <c r="T60" i="3" s="1"/>
  <c r="H60" i="3"/>
  <c r="U60" i="3" s="1"/>
  <c r="I60" i="3"/>
  <c r="J60" i="3"/>
  <c r="C51" i="3"/>
  <c r="D51" i="3"/>
  <c r="E51" i="3"/>
  <c r="F51" i="3"/>
  <c r="G51" i="3"/>
  <c r="T51" i="3" s="1"/>
  <c r="H51" i="3"/>
  <c r="U51" i="3" s="1"/>
  <c r="I51" i="3"/>
  <c r="V51" i="3" s="1"/>
  <c r="J51" i="3"/>
  <c r="W51" i="3" s="1"/>
  <c r="B51" i="3"/>
  <c r="O51" i="3" s="1"/>
  <c r="I83" i="3"/>
  <c r="H83" i="3"/>
  <c r="H84" i="3"/>
  <c r="H85" i="3"/>
  <c r="H86" i="3"/>
  <c r="H87" i="3"/>
  <c r="G83" i="3"/>
  <c r="G84" i="3"/>
  <c r="I84" i="3" s="1"/>
  <c r="G85" i="3"/>
  <c r="I85" i="3" s="1"/>
  <c r="G86" i="3"/>
  <c r="I86" i="3" s="1"/>
  <c r="G87" i="3"/>
  <c r="I87" i="3" s="1"/>
  <c r="W4" i="3"/>
  <c r="C15" i="3"/>
  <c r="D15" i="3"/>
  <c r="E15" i="3"/>
  <c r="F15" i="3"/>
  <c r="G15" i="3"/>
  <c r="H15" i="3"/>
  <c r="I15" i="3"/>
  <c r="J15" i="3"/>
  <c r="K15" i="3"/>
  <c r="L15" i="3"/>
  <c r="N15" i="3"/>
  <c r="O15" i="3"/>
  <c r="P15" i="3"/>
  <c r="Q15" i="3"/>
  <c r="R15" i="3"/>
  <c r="S15" i="3"/>
  <c r="T15" i="3"/>
  <c r="U15" i="3"/>
  <c r="B15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B14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B13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B18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B17" i="3"/>
  <c r="I79" i="3" l="1"/>
  <c r="I80" i="3"/>
  <c r="I78" i="3"/>
  <c r="S19" i="3"/>
  <c r="S32" i="3" s="1"/>
  <c r="Q19" i="3"/>
  <c r="Q30" i="3" s="1"/>
  <c r="P19" i="3"/>
  <c r="P25" i="3" s="1"/>
  <c r="T19" i="3"/>
  <c r="T23" i="3" s="1"/>
  <c r="H19" i="3"/>
  <c r="H25" i="3" s="1"/>
  <c r="G19" i="3"/>
  <c r="G23" i="3" s="1"/>
  <c r="R19" i="3"/>
  <c r="R30" i="3" s="1"/>
  <c r="F19" i="3"/>
  <c r="F25" i="3" s="1"/>
  <c r="D19" i="3"/>
  <c r="D30" i="3" s="1"/>
  <c r="O19" i="3"/>
  <c r="O32" i="3" s="1"/>
  <c r="C19" i="3"/>
  <c r="C27" i="3" s="1"/>
  <c r="E19" i="3"/>
  <c r="E25" i="3" s="1"/>
  <c r="B19" i="3"/>
  <c r="B25" i="3" s="1"/>
  <c r="J19" i="3"/>
  <c r="J25" i="3" s="1"/>
  <c r="U19" i="3"/>
  <c r="U25" i="3" s="1"/>
  <c r="I19" i="3"/>
  <c r="I30" i="3" s="1"/>
  <c r="H28" i="3"/>
  <c r="H23" i="3"/>
  <c r="H26" i="3"/>
  <c r="H30" i="3"/>
  <c r="S30" i="3"/>
  <c r="S25" i="3"/>
  <c r="Q27" i="3"/>
  <c r="M19" i="3"/>
  <c r="M31" i="3" s="1"/>
  <c r="P30" i="3"/>
  <c r="Q32" i="3"/>
  <c r="Q25" i="3"/>
  <c r="N19" i="3"/>
  <c r="N32" i="3" s="1"/>
  <c r="N27" i="3"/>
  <c r="L19" i="3"/>
  <c r="L31" i="3" s="1"/>
  <c r="S26" i="3"/>
  <c r="K19" i="3"/>
  <c r="K24" i="3" s="1"/>
  <c r="Q23" i="3"/>
  <c r="S31" i="3"/>
  <c r="P28" i="3"/>
  <c r="P23" i="3"/>
  <c r="T29" i="3"/>
  <c r="Q26" i="3"/>
  <c r="S24" i="3"/>
  <c r="S29" i="3"/>
  <c r="Q24" i="3"/>
  <c r="T32" i="3"/>
  <c r="S27" i="3"/>
  <c r="P24" i="3"/>
  <c r="S28" i="3" l="1"/>
  <c r="J30" i="3"/>
  <c r="P31" i="3"/>
  <c r="P27" i="3"/>
  <c r="Q31" i="3"/>
  <c r="Q28" i="3"/>
  <c r="S23" i="3"/>
  <c r="S34" i="3" s="1"/>
  <c r="T27" i="3"/>
  <c r="P26" i="3"/>
  <c r="P36" i="3" s="1"/>
  <c r="P32" i="3"/>
  <c r="P34" i="3" s="1"/>
  <c r="N28" i="3"/>
  <c r="U26" i="3"/>
  <c r="T31" i="3"/>
  <c r="P29" i="3"/>
  <c r="H31" i="3"/>
  <c r="H32" i="3"/>
  <c r="H29" i="3"/>
  <c r="Q29" i="3"/>
  <c r="Q36" i="3" s="1"/>
  <c r="H27" i="3"/>
  <c r="G32" i="3"/>
  <c r="T24" i="3"/>
  <c r="T25" i="3"/>
  <c r="U30" i="3"/>
  <c r="F26" i="3"/>
  <c r="G25" i="3"/>
  <c r="U27" i="3"/>
  <c r="R26" i="3"/>
  <c r="G29" i="3"/>
  <c r="G30" i="3"/>
  <c r="N26" i="3"/>
  <c r="T30" i="3"/>
  <c r="O31" i="3"/>
  <c r="J24" i="3"/>
  <c r="G28" i="3"/>
  <c r="C31" i="3"/>
  <c r="O27" i="3"/>
  <c r="G26" i="3"/>
  <c r="H24" i="3"/>
  <c r="J29" i="3"/>
  <c r="T26" i="3"/>
  <c r="K29" i="3"/>
  <c r="G24" i="3"/>
  <c r="D28" i="3"/>
  <c r="U29" i="3"/>
  <c r="F27" i="3"/>
  <c r="U28" i="3"/>
  <c r="U32" i="3"/>
  <c r="F24" i="3"/>
  <c r="G31" i="3"/>
  <c r="T28" i="3"/>
  <c r="G27" i="3"/>
  <c r="R24" i="3"/>
  <c r="J27" i="3"/>
  <c r="O30" i="3"/>
  <c r="O28" i="3"/>
  <c r="I31" i="3"/>
  <c r="R23" i="3"/>
  <c r="I26" i="3"/>
  <c r="J26" i="3"/>
  <c r="C28" i="3"/>
  <c r="J28" i="3"/>
  <c r="F29" i="3"/>
  <c r="F31" i="3"/>
  <c r="I28" i="3"/>
  <c r="J31" i="3"/>
  <c r="R29" i="3"/>
  <c r="R31" i="3"/>
  <c r="U31" i="3"/>
  <c r="J23" i="3"/>
  <c r="O24" i="3"/>
  <c r="C30" i="3"/>
  <c r="I25" i="3"/>
  <c r="J32" i="3"/>
  <c r="D31" i="3"/>
  <c r="U23" i="3"/>
  <c r="R27" i="3"/>
  <c r="R28" i="3"/>
  <c r="F23" i="3"/>
  <c r="F32" i="3"/>
  <c r="D26" i="3"/>
  <c r="O25" i="3"/>
  <c r="D32" i="3"/>
  <c r="F30" i="3"/>
  <c r="R32" i="3"/>
  <c r="O23" i="3"/>
  <c r="C25" i="3"/>
  <c r="D23" i="3"/>
  <c r="D27" i="3"/>
  <c r="F28" i="3"/>
  <c r="R25" i="3"/>
  <c r="D24" i="3"/>
  <c r="C26" i="3"/>
  <c r="O26" i="3"/>
  <c r="I27" i="3"/>
  <c r="I24" i="3"/>
  <c r="D25" i="3"/>
  <c r="I23" i="3"/>
  <c r="D29" i="3"/>
  <c r="K30" i="3"/>
  <c r="K27" i="3"/>
  <c r="U24" i="3"/>
  <c r="I32" i="3"/>
  <c r="C32" i="3"/>
  <c r="C29" i="3"/>
  <c r="C23" i="3"/>
  <c r="I29" i="3"/>
  <c r="O29" i="3"/>
  <c r="C24" i="3"/>
  <c r="E29" i="3"/>
  <c r="E28" i="3"/>
  <c r="N29" i="3"/>
  <c r="B29" i="3"/>
  <c r="E23" i="3"/>
  <c r="E27" i="3"/>
  <c r="B26" i="3"/>
  <c r="E24" i="3"/>
  <c r="E26" i="3"/>
  <c r="B23" i="3"/>
  <c r="B27" i="3"/>
  <c r="B28" i="3"/>
  <c r="B31" i="3"/>
  <c r="B32" i="3"/>
  <c r="E32" i="3"/>
  <c r="E30" i="3"/>
  <c r="B24" i="3"/>
  <c r="E31" i="3"/>
  <c r="B30" i="3"/>
  <c r="N23" i="3"/>
  <c r="N31" i="3"/>
  <c r="L32" i="3"/>
  <c r="M30" i="3"/>
  <c r="L27" i="3"/>
  <c r="L26" i="3"/>
  <c r="L28" i="3"/>
  <c r="L23" i="3"/>
  <c r="M29" i="3"/>
  <c r="M25" i="3"/>
  <c r="K31" i="3"/>
  <c r="K26" i="3"/>
  <c r="K23" i="3"/>
  <c r="M32" i="3"/>
  <c r="M26" i="3"/>
  <c r="K32" i="3"/>
  <c r="M28" i="3"/>
  <c r="K25" i="3"/>
  <c r="L29" i="3"/>
  <c r="N30" i="3"/>
  <c r="N25" i="3"/>
  <c r="L30" i="3"/>
  <c r="N24" i="3"/>
  <c r="M27" i="3"/>
  <c r="M23" i="3"/>
  <c r="M24" i="3"/>
  <c r="K28" i="3"/>
  <c r="L24" i="3"/>
  <c r="L25" i="3"/>
  <c r="P35" i="3" l="1"/>
  <c r="S35" i="3"/>
  <c r="S36" i="3"/>
  <c r="T36" i="3"/>
  <c r="H34" i="3"/>
  <c r="Q34" i="3"/>
  <c r="Q35" i="3"/>
  <c r="R34" i="3"/>
  <c r="G34" i="3"/>
  <c r="O34" i="3"/>
  <c r="H35" i="3"/>
  <c r="C36" i="3"/>
  <c r="H36" i="3"/>
  <c r="T35" i="3"/>
  <c r="T34" i="3"/>
  <c r="D35" i="3"/>
  <c r="G35" i="3"/>
  <c r="G36" i="3"/>
  <c r="U35" i="3"/>
  <c r="F35" i="3"/>
  <c r="J36" i="3"/>
  <c r="J35" i="3"/>
  <c r="D34" i="3"/>
  <c r="D36" i="3"/>
  <c r="J34" i="3"/>
  <c r="F34" i="3"/>
  <c r="R35" i="3"/>
  <c r="R36" i="3"/>
  <c r="F36" i="3"/>
  <c r="O36" i="3"/>
  <c r="U36" i="3"/>
  <c r="C34" i="3"/>
  <c r="U34" i="3"/>
  <c r="I35" i="3"/>
  <c r="C35" i="3"/>
  <c r="I36" i="3"/>
  <c r="O35" i="3"/>
  <c r="I34" i="3"/>
  <c r="N35" i="3"/>
  <c r="N34" i="3"/>
  <c r="N36" i="3"/>
  <c r="B35" i="3"/>
  <c r="B36" i="3"/>
  <c r="B34" i="3"/>
  <c r="K34" i="3"/>
  <c r="K35" i="3"/>
  <c r="K36" i="3"/>
  <c r="E36" i="3"/>
  <c r="E35" i="3"/>
  <c r="E34" i="3"/>
  <c r="L35" i="3"/>
  <c r="L34" i="3"/>
  <c r="L36" i="3"/>
  <c r="M35" i="3"/>
  <c r="M34" i="3"/>
  <c r="M36" i="3"/>
</calcChain>
</file>

<file path=xl/sharedStrings.xml><?xml version="1.0" encoding="utf-8"?>
<sst xmlns="http://schemas.openxmlformats.org/spreadsheetml/2006/main" count="228" uniqueCount="59">
  <si>
    <t>seed_a_e</t>
  </si>
  <si>
    <t>seed_b_e</t>
  </si>
  <si>
    <t>seed_d_e</t>
  </si>
  <si>
    <t>seed_c_I_sst</t>
  </si>
  <si>
    <t>seed_c_I_vip</t>
  </si>
  <si>
    <t>seed_c_I_pv</t>
  </si>
  <si>
    <t>seed_r_0_sst</t>
  </si>
  <si>
    <t>seed_r_0_vip</t>
  </si>
  <si>
    <t>seed_r_0_pv</t>
  </si>
  <si>
    <t>I_background_e</t>
  </si>
  <si>
    <t>I_background_i</t>
  </si>
  <si>
    <t>I_background_dend</t>
  </si>
  <si>
    <t>mu_ee</t>
  </si>
  <si>
    <t>mu_ie</t>
  </si>
  <si>
    <t>e_grad_min</t>
  </si>
  <si>
    <t>balloon_kappa</t>
  </si>
  <si>
    <t>balloon_gamma</t>
  </si>
  <si>
    <t>balloon_tau</t>
  </si>
  <si>
    <t>final_evaluation_seed</t>
  </si>
  <si>
    <t>best_difference_vector_r</t>
  </si>
  <si>
    <t>best_pearson_r</t>
  </si>
  <si>
    <t>12345</t>
  </si>
  <si>
    <t>24690</t>
  </si>
  <si>
    <t>37035</t>
  </si>
  <si>
    <t>49380</t>
  </si>
  <si>
    <t>61725</t>
  </si>
  <si>
    <t>74070</t>
  </si>
  <si>
    <t>86415</t>
  </si>
  <si>
    <t>98760</t>
  </si>
  <si>
    <t>111105</t>
  </si>
  <si>
    <t>123450</t>
  </si>
  <si>
    <t>Column1</t>
  </si>
  <si>
    <t>min</t>
  </si>
  <si>
    <t>max</t>
  </si>
  <si>
    <t>difference</t>
  </si>
  <si>
    <t>NORMALISED</t>
  </si>
  <si>
    <t>mean</t>
  </si>
  <si>
    <t>std</t>
  </si>
  <si>
    <t>variance</t>
  </si>
  <si>
    <t>pearson r of model/target and serotonin difference</t>
  </si>
  <si>
    <t>Baseline f/I parameters</t>
  </si>
  <si>
    <t>a_e</t>
  </si>
  <si>
    <t>b_e</t>
  </si>
  <si>
    <t>d_e</t>
  </si>
  <si>
    <t>c_I_sst</t>
  </si>
  <si>
    <t>c_I_vip</t>
  </si>
  <si>
    <t>_c_I_pv</t>
  </si>
  <si>
    <t>r_0_sst</t>
  </si>
  <si>
    <t>r_0_vip</t>
  </si>
  <si>
    <t>r_0_pv</t>
  </si>
  <si>
    <t>Parameter</t>
  </si>
  <si>
    <t>Value</t>
  </si>
  <si>
    <t>sum of R^2</t>
  </si>
  <si>
    <t>Model R</t>
  </si>
  <si>
    <t>Model R^2</t>
  </si>
  <si>
    <t>Log2 Fold Change [Highlighted]</t>
  </si>
  <si>
    <t>Fold Change [Highlighted]</t>
  </si>
  <si>
    <t>Fold Change in f/I parameters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</si>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</sst>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1" xfId="0" applyFill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0" borderId="1" xfId="0" applyBorder="1"/>
    <xf numFmtId="0" fontId="0" fillId="4" borderId="15" xfId="0" applyFill="1" applyBorder="1"/>
    <xf numFmtId="0" fontId="0" fillId="4" borderId="16" xfId="0" applyFill="1" applyBorder="1"/>
    <xf numFmtId="0" fontId="2" fillId="2" borderId="17" xfId="0" applyFont="1" applyFill="1" applyBorder="1"/>
    <xf numFmtId="0" fontId="2" fillId="2" borderId="18" xfId="0" applyFont="1" applyFill="1" applyBorder="1"/>
    <xf numFmtId="164" fontId="0" fillId="0" borderId="0" xfId="0" applyNumberFormat="1"/>
    <xf numFmtId="2" fontId="0" fillId="0" borderId="0" xfId="0" applyNumberFormat="1"/>
    <xf numFmtId="164" fontId="0" fillId="4" borderId="2" xfId="0" applyNumberFormat="1" applyFill="1" applyBorder="1"/>
    <xf numFmtId="164" fontId="0" fillId="4" borderId="3" xfId="0" applyNumberFormat="1" applyFill="1" applyBorder="1"/>
    <xf numFmtId="0" fontId="0" fillId="4" borderId="11" xfId="0" applyFill="1" applyBorder="1"/>
    <xf numFmtId="0" fontId="0" fillId="5" borderId="15" xfId="0" applyFill="1" applyBorder="1"/>
    <xf numFmtId="0" fontId="0" fillId="5" borderId="3" xfId="0" applyFill="1" applyBorder="1"/>
    <xf numFmtId="0" fontId="0" fillId="5" borderId="2" xfId="0" applyFill="1" applyBorder="1"/>
    <xf numFmtId="0" fontId="0" fillId="5" borderId="16" xfId="0" applyFill="1" applyBorder="1"/>
    <xf numFmtId="0" fontId="0" fillId="5" borderId="13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6" xfId="0" applyFill="1" applyBorder="1"/>
    <xf numFmtId="164" fontId="0" fillId="3" borderId="1" xfId="0" applyNumberFormat="1" applyFill="1" applyBorder="1"/>
    <xf numFmtId="164" fontId="0" fillId="0" borderId="1" xfId="0" applyNumberFormat="1" applyBorder="1"/>
    <xf numFmtId="0" fontId="0" fillId="0" borderId="19" xfId="0" applyBorder="1"/>
    <xf numFmtId="164" fontId="0" fillId="0" borderId="19" xfId="0" applyNumberFormat="1" applyBorder="1"/>
    <xf numFmtId="0" fontId="0" fillId="6" borderId="15" xfId="0" applyFill="1" applyBorder="1"/>
    <xf numFmtId="0" fontId="0" fillId="6" borderId="22" xfId="0" applyFill="1" applyBorder="1"/>
    <xf numFmtId="0" fontId="0" fillId="6" borderId="5" xfId="0" applyFill="1" applyBorder="1"/>
    <xf numFmtId="0" fontId="0" fillId="6" borderId="11" xfId="0" applyFill="1" applyBorder="1"/>
    <xf numFmtId="0" fontId="0" fillId="6" borderId="16" xfId="0" applyFill="1" applyBorder="1"/>
    <xf numFmtId="0" fontId="3" fillId="3" borderId="1" xfId="0" applyFont="1" applyFill="1" applyBorder="1"/>
    <xf numFmtId="0" fontId="3" fillId="0" borderId="1" xfId="0" applyFont="1" applyBorder="1"/>
    <xf numFmtId="0" fontId="2" fillId="2" borderId="23" xfId="0" applyFont="1" applyFill="1" applyBorder="1"/>
  </cellXfs>
  <cellStyles count="1">
    <cellStyle name="Normal" xfId="0" builtinId="0"/>
  </cellStyles>
  <dxfs count="1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146238</xdr:colOff>
      <xdr:row>37</xdr:row>
      <xdr:rowOff>85724</xdr:rowOff>
    </xdr:from>
    <xdr:to>
      <xdr:col>5</xdr:col>
      <xdr:colOff>542925</xdr:colOff>
      <xdr:row>41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10C10C-B862-9189-E6A8-55D13E51CB71}"/>
            </a:ext>
          </a:extLst>
        </xdr:cNvPr>
        <xdr:cNvSpPr txBox="1"/>
      </xdr:nvSpPr>
      <xdr:spPr>
        <a:xfrm>
          <a:off x="146238" y="7210424"/>
          <a:ext cx="6273612" cy="857251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Best Model/Target</a:t>
          </a:r>
          <a:r>
            <a:rPr lang="en-GB" sz="1100" baseline="0">
              <a:solidFill>
                <a:schemeClr val="bg1"/>
              </a:solidFill>
            </a:rPr>
            <a:t> Pearson r: 0.712 | seed:12345 | runtime:40s</a:t>
          </a:r>
        </a:p>
        <a:p>
          <a:r>
            <a:rPr lang="en-GB" sz="1100" baseline="0">
              <a:solidFill>
                <a:schemeClr val="bg1"/>
              </a:solidFill>
            </a:rPr>
            <a:t>Best Serotonin Effect Pearson r: 0.675 | seed:98760 | runtime:40s</a:t>
          </a:r>
        </a:p>
        <a:p>
          <a:endParaRPr lang="en-GB" sz="1100" baseline="0">
            <a:solidFill>
              <a:schemeClr val="bg1"/>
            </a:solidFill>
          </a:endParaRPr>
        </a:p>
        <a:p>
          <a:r>
            <a:rPr lang="en-GB" sz="1100" baseline="0">
              <a:solidFill>
                <a:schemeClr val="bg1"/>
              </a:solidFill>
            </a:rPr>
            <a:t>Model/Target Serotonin Effect Pearson r: 0.155</a:t>
          </a:r>
        </a:p>
        <a:p>
          <a:endParaRPr lang="en-GB" sz="11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193552</xdr:colOff>
      <xdr:row>42</xdr:row>
      <xdr:rowOff>116098</xdr:rowOff>
    </xdr:from>
    <xdr:to>
      <xdr:col>16</xdr:col>
      <xdr:colOff>151743</xdr:colOff>
      <xdr:row>47</xdr:row>
      <xdr:rowOff>5585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93C655-9EA2-54F4-B53C-F9728E62789E}"/>
            </a:ext>
          </a:extLst>
        </xdr:cNvPr>
        <xdr:cNvSpPr txBox="1"/>
      </xdr:nvSpPr>
      <xdr:spPr>
        <a:xfrm>
          <a:off x="14519152" y="8193298"/>
          <a:ext cx="3511016" cy="880087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>
              <a:solidFill>
                <a:schemeClr val="bg1"/>
              </a:solidFill>
            </a:rPr>
            <a:t>Serotonin Effect Hypothoses:</a:t>
          </a:r>
        </a:p>
        <a:p>
          <a:r>
            <a:rPr lang="en-GB" sz="1100" baseline="0">
              <a:solidFill>
                <a:schemeClr val="bg1"/>
              </a:solidFill>
            </a:rPr>
            <a:t>1A: Inhibitory	|  Presents in SST and SOMA</a:t>
          </a:r>
        </a:p>
        <a:p>
          <a:r>
            <a:rPr lang="en-GB" sz="1100" baseline="0">
              <a:solidFill>
                <a:schemeClr val="bg1"/>
              </a:solidFill>
            </a:rPr>
            <a:t>2A: Excitatory	|  Presents in PV and DENDRITE</a:t>
          </a:r>
        </a:p>
        <a:p>
          <a:r>
            <a:rPr lang="en-GB" sz="1100" baseline="0">
              <a:solidFill>
                <a:schemeClr val="bg1"/>
              </a:solidFill>
            </a:rPr>
            <a:t>3A: Excitatory	|  Presents in VIP</a:t>
          </a:r>
        </a:p>
        <a:p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381001</xdr:colOff>
      <xdr:row>41</xdr:row>
      <xdr:rowOff>144516</xdr:rowOff>
    </xdr:from>
    <xdr:to>
      <xdr:col>19</xdr:col>
      <xdr:colOff>1116726</xdr:colOff>
      <xdr:row>48</xdr:row>
      <xdr:rowOff>85395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F41492-CD29-545D-3732-A12DCB7194FC}"/>
            </a:ext>
          </a:extLst>
        </xdr:cNvPr>
        <xdr:cNvSpPr txBox="1"/>
      </xdr:nvSpPr>
      <xdr:spPr>
        <a:xfrm>
          <a:off x="17788760" y="8007568"/>
          <a:ext cx="3639207" cy="130065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Role</a:t>
          </a:r>
          <a:r>
            <a:rPr lang="en-GB" sz="1100" baseline="0">
              <a:solidFill>
                <a:schemeClr val="bg1"/>
              </a:solidFill>
            </a:rPr>
            <a:t> of f/I parameters:</a:t>
          </a:r>
        </a:p>
        <a:p>
          <a:r>
            <a:rPr lang="en-GB" sz="1100" baseline="0">
              <a:solidFill>
                <a:schemeClr val="bg1"/>
              </a:solidFill>
            </a:rPr>
            <a:t>a_e controls the slope </a:t>
          </a:r>
        </a:p>
        <a:p>
          <a:r>
            <a:rPr lang="en-GB" sz="1100" baseline="0">
              <a:solidFill>
                <a:schemeClr val="bg1"/>
              </a:solidFill>
            </a:rPr>
            <a:t>b_e controls the threshold</a:t>
          </a:r>
        </a:p>
        <a:p>
          <a:r>
            <a:rPr lang="en-GB" sz="1100" baseline="0">
              <a:solidFill>
                <a:schemeClr val="bg1"/>
              </a:solidFill>
            </a:rPr>
            <a:t>d_e controls the curvature of the slope</a:t>
          </a:r>
        </a:p>
        <a:p>
          <a:endParaRPr lang="en-GB" sz="1100" baseline="0">
            <a:solidFill>
              <a:schemeClr val="bg1"/>
            </a:solidFill>
          </a:endParaRPr>
        </a:p>
        <a:p>
          <a:r>
            <a:rPr lang="en-GB" sz="1100">
              <a:solidFill>
                <a:schemeClr val="bg1"/>
              </a:solidFill>
            </a:rPr>
            <a:t>c_I</a:t>
          </a:r>
          <a:r>
            <a:rPr lang="en-GB" sz="1100" baseline="0">
              <a:solidFill>
                <a:schemeClr val="bg1"/>
              </a:solidFill>
            </a:rPr>
            <a:t> controls the slope</a:t>
          </a:r>
        </a:p>
        <a:p>
          <a:r>
            <a:rPr lang="en-GB" sz="1100" baseline="0">
              <a:solidFill>
                <a:schemeClr val="bg1"/>
              </a:solidFill>
            </a:rPr>
            <a:t>r_0 controls the threshold</a:t>
          </a:r>
        </a:p>
        <a:p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933449</xdr:colOff>
      <xdr:row>87</xdr:row>
      <xdr:rowOff>142875</xdr:rowOff>
    </xdr:from>
    <xdr:to>
      <xdr:col>9</xdr:col>
      <xdr:colOff>38099</xdr:colOff>
      <xdr:row>91</xdr:row>
      <xdr:rowOff>57151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5E088F-65C9-36D7-8ADE-F6CCF8E57F10}"/>
            </a:ext>
          </a:extLst>
        </xdr:cNvPr>
        <xdr:cNvSpPr txBox="1"/>
      </xdr:nvSpPr>
      <xdr:spPr>
        <a:xfrm>
          <a:off x="8963024" y="16868775"/>
          <a:ext cx="2905125" cy="676276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After</a:t>
          </a:r>
          <a:r>
            <a:rPr lang="en-GB" sz="1100" baseline="0">
              <a:solidFill>
                <a:schemeClr val="bg1"/>
              </a:solidFill>
            </a:rPr>
            <a:t> parameter optimisation, the seed that enabled the model to produce a result most similar to the data was 98760</a:t>
          </a:r>
        </a:p>
        <a:p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74544</xdr:colOff>
      <xdr:row>43</xdr:row>
      <xdr:rowOff>57980</xdr:rowOff>
    </xdr:from>
    <xdr:to>
      <xdr:col>23</xdr:col>
      <xdr:colOff>546653</xdr:colOff>
      <xdr:row>46</xdr:row>
      <xdr:rowOff>115958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3F7917-3641-6161-C48B-AB8E6EB696CF}"/>
            </a:ext>
          </a:extLst>
        </xdr:cNvPr>
        <xdr:cNvSpPr txBox="1"/>
      </xdr:nvSpPr>
      <xdr:spPr>
        <a:xfrm>
          <a:off x="23911892" y="8324023"/>
          <a:ext cx="3337891" cy="654326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Effect of Increasing f/I parameters:</a:t>
          </a:r>
        </a:p>
        <a:p>
          <a:r>
            <a:rPr lang="en-GB" sz="1100">
              <a:solidFill>
                <a:schemeClr val="bg1"/>
              </a:solidFill>
            </a:rPr>
            <a:t>Slope:</a:t>
          </a:r>
          <a:r>
            <a:rPr lang="en-GB" sz="1100" baseline="0">
              <a:solidFill>
                <a:schemeClr val="bg1"/>
              </a:solidFill>
            </a:rPr>
            <a:t> 	Higher Firing Rate for same Current</a:t>
          </a:r>
        </a:p>
        <a:p>
          <a:r>
            <a:rPr lang="en-GB" sz="1100" baseline="0">
              <a:solidFill>
                <a:schemeClr val="bg1"/>
              </a:solidFill>
            </a:rPr>
            <a:t>Threshold: 	Lower Firing Rate for same Current</a:t>
          </a:r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1247775</xdr:colOff>
      <xdr:row>75</xdr:row>
      <xdr:rowOff>104776</xdr:rowOff>
    </xdr:from>
    <xdr:to>
      <xdr:col>14</xdr:col>
      <xdr:colOff>1009650</xdr:colOff>
      <xdr:row>87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7AC2BB-AB0D-21AA-921A-FAB63278CB90}"/>
            </a:ext>
          </a:extLst>
        </xdr:cNvPr>
        <xdr:cNvSpPr txBox="1"/>
      </xdr:nvSpPr>
      <xdr:spPr>
        <a:xfrm>
          <a:off x="15678150" y="14554201"/>
          <a:ext cx="3038475" cy="2238374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Higher</a:t>
          </a:r>
          <a:r>
            <a:rPr lang="en-GB" sz="1100" baseline="0">
              <a:solidFill>
                <a:schemeClr val="bg1"/>
              </a:solidFill>
            </a:rPr>
            <a:t> DRIVE results in a higher BOLD.</a:t>
          </a:r>
        </a:p>
        <a:p>
          <a:r>
            <a:rPr lang="en-GB" sz="1100" baseline="0">
              <a:solidFill>
                <a:schemeClr val="bg1"/>
              </a:solidFill>
            </a:rPr>
            <a:t>Higher FC is a result of correlations in BOLD.</a:t>
          </a:r>
        </a:p>
        <a:p>
          <a:r>
            <a:rPr lang="en-GB" sz="1100">
              <a:solidFill>
                <a:schemeClr val="bg1"/>
              </a:solidFill>
            </a:rPr>
            <a:t>Higher</a:t>
          </a:r>
          <a:r>
            <a:rPr lang="en-GB" sz="1100" baseline="0">
              <a:solidFill>
                <a:schemeClr val="bg1"/>
              </a:solidFill>
            </a:rPr>
            <a:t> HZ from E means more DRIVE sent elsewhere.</a:t>
          </a:r>
        </a:p>
        <a:p>
          <a:r>
            <a:rPr lang="en-GB" sz="1100" baseline="0">
              <a:solidFill>
                <a:schemeClr val="bg1"/>
              </a:solidFill>
            </a:rPr>
            <a:t>Sending more DRIVE when internal DRIVE is HIGH means more FC (1).</a:t>
          </a:r>
        </a:p>
        <a:p>
          <a:r>
            <a:rPr lang="en-GB" sz="1100" baseline="0">
              <a:solidFill>
                <a:schemeClr val="bg1"/>
              </a:solidFill>
            </a:rPr>
            <a:t>Sending more DRIVE when internal DRIVE is LOW means less FC (2).</a:t>
          </a:r>
        </a:p>
        <a:p>
          <a:r>
            <a:rPr lang="en-GB" sz="1100" baseline="0">
              <a:solidFill>
                <a:schemeClr val="bg1"/>
              </a:solidFill>
            </a:rPr>
            <a:t>Sending no DRIVE when internal DRIVE is HIGH means less FC (3).</a:t>
          </a:r>
        </a:p>
        <a:p>
          <a:r>
            <a:rPr lang="en-GB" sz="1100" baseline="0">
              <a:solidFill>
                <a:schemeClr val="bg1"/>
              </a:solidFill>
            </a:rPr>
            <a:t>Sending no DRIVE when internal DRIVE is LOW means more FC (4).</a:t>
          </a:r>
        </a:p>
        <a:p>
          <a:endParaRPr lang="en-GB" sz="11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1133476</xdr:colOff>
      <xdr:row>79</xdr:row>
      <xdr:rowOff>171450</xdr:rowOff>
    </xdr:from>
    <xdr:to>
      <xdr:col>15</xdr:col>
      <xdr:colOff>381001</xdr:colOff>
      <xdr:row>81</xdr:row>
      <xdr:rowOff>123825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B8C460E2-AB75-24F8-ED2D-1A50BEFBB5C8}"/>
            </a:ext>
          </a:extLst>
        </xdr:cNvPr>
        <xdr:cNvSpPr/>
      </xdr:nvSpPr>
      <xdr:spPr>
        <a:xfrm>
          <a:off x="18840451" y="15392400"/>
          <a:ext cx="609600" cy="333375"/>
        </a:xfrm>
        <a:prstGeom prst="rightArrow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428625</xdr:colOff>
      <xdr:row>79</xdr:row>
      <xdr:rowOff>85726</xdr:rowOff>
    </xdr:from>
    <xdr:to>
      <xdr:col>18</xdr:col>
      <xdr:colOff>847725</xdr:colOff>
      <xdr:row>82</xdr:row>
      <xdr:rowOff>28576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631845-0E80-9CFA-5FD3-68F1507C8F07}"/>
            </a:ext>
          </a:extLst>
        </xdr:cNvPr>
        <xdr:cNvSpPr txBox="1"/>
      </xdr:nvSpPr>
      <xdr:spPr>
        <a:xfrm>
          <a:off x="19497675" y="15306676"/>
          <a:ext cx="2981325" cy="51435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(1,2)</a:t>
          </a:r>
          <a:r>
            <a:rPr lang="en-GB" sz="1100" baseline="0">
              <a:solidFill>
                <a:schemeClr val="bg1"/>
              </a:solidFill>
            </a:rPr>
            <a:t> Are Primarily Controlled by the Slope</a:t>
          </a:r>
        </a:p>
        <a:p>
          <a:r>
            <a:rPr lang="en-GB" sz="1100" baseline="0">
              <a:solidFill>
                <a:schemeClr val="bg1"/>
              </a:solidFill>
            </a:rPr>
            <a:t>(3,4) Are Primarily Controlled by the Threshold</a:t>
          </a:r>
          <a:endParaRPr lang="en-GB" sz="11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942975</xdr:colOff>
      <xdr:row>79</xdr:row>
      <xdr:rowOff>161925</xdr:rowOff>
    </xdr:from>
    <xdr:to>
      <xdr:col>19</xdr:col>
      <xdr:colOff>666750</xdr:colOff>
      <xdr:row>81</xdr:row>
      <xdr:rowOff>114300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0881088D-741F-473A-88F9-207DADF1167B}"/>
            </a:ext>
          </a:extLst>
        </xdr:cNvPr>
        <xdr:cNvSpPr/>
      </xdr:nvSpPr>
      <xdr:spPr>
        <a:xfrm>
          <a:off x="22574250" y="15382875"/>
          <a:ext cx="790575" cy="333375"/>
        </a:xfrm>
        <a:prstGeom prst="rightArrow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704850</xdr:colOff>
      <xdr:row>76</xdr:row>
      <xdr:rowOff>152400</xdr:rowOff>
    </xdr:from>
    <xdr:to>
      <xdr:col>22</xdr:col>
      <xdr:colOff>800100</xdr:colOff>
      <xdr:row>85</xdr:row>
      <xdr:rowOff>152400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44393DA-2E2D-41A7-4CBC-DE5CE13E9D91}"/>
            </a:ext>
          </a:extLst>
        </xdr:cNvPr>
        <xdr:cNvSpPr txBox="1"/>
      </xdr:nvSpPr>
      <xdr:spPr>
        <a:xfrm>
          <a:off x="23402925" y="14801850"/>
          <a:ext cx="3038475" cy="171450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/>
              </a:solidFill>
            </a:rPr>
            <a:t>Whether</a:t>
          </a:r>
          <a:r>
            <a:rPr lang="en-GB" sz="1100" baseline="0">
              <a:solidFill>
                <a:schemeClr val="bg1"/>
              </a:solidFill>
            </a:rPr>
            <a:t> this control is positive or negative, with respect to FC, is determined by the Population type.</a:t>
          </a:r>
        </a:p>
        <a:p>
          <a:r>
            <a:rPr lang="en-GB" sz="1100" baseline="0">
              <a:solidFill>
                <a:schemeClr val="bg1"/>
              </a:solidFill>
            </a:rPr>
            <a:t>In the local circuit:</a:t>
          </a:r>
        </a:p>
        <a:p>
          <a:r>
            <a:rPr lang="en-GB" sz="1100" baseline="0">
              <a:solidFill>
                <a:schemeClr val="bg1"/>
              </a:solidFill>
            </a:rPr>
            <a:t>+SST       -&gt; -Dendrite</a:t>
          </a:r>
        </a:p>
        <a:p>
          <a:r>
            <a:rPr lang="en-GB" sz="1100" baseline="0">
              <a:solidFill>
                <a:schemeClr val="bg1"/>
              </a:solidFill>
            </a:rPr>
            <a:t>+SST       -&gt; -PV</a:t>
          </a:r>
        </a:p>
        <a:p>
          <a:r>
            <a:rPr lang="en-GB" sz="1100" baseline="0">
              <a:solidFill>
                <a:schemeClr val="bg1"/>
              </a:solidFill>
            </a:rPr>
            <a:t>+PV         -&gt; -Soma</a:t>
          </a:r>
        </a:p>
        <a:p>
          <a:r>
            <a:rPr lang="en-GB" sz="1100" baseline="0">
              <a:solidFill>
                <a:schemeClr val="bg1"/>
              </a:solidFill>
            </a:rPr>
            <a:t>+VIP        -&gt; -SST</a:t>
          </a:r>
        </a:p>
        <a:p>
          <a:r>
            <a:rPr lang="en-GB" sz="1100" baseline="0">
              <a:solidFill>
                <a:schemeClr val="bg1"/>
              </a:solidFill>
            </a:rPr>
            <a:t>+SOMA  -&gt; +SST / +PV / +VIP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B1EA398-6077-43CD-8151-400DF211F33C}" name="Table1820" displayName="Table1820" ref="A1:U11" totalsRowShown="0">
  <autoFilter ref="A1:U11" xr:uid="{2B1EA398-6077-43CD-8151-400DF211F33C}"/>
  <tableColumns count="21">
    <tableColumn id="1" xr3:uid="{DFDC78A7-E47E-494D-9C61-107C2DD6F0AD}" name="final_evaluation_seed"/>
    <tableColumn id="2" xr3:uid="{E6238561-586D-4726-BEAC-8D7C182F1ECE}" name="best_pearson_r" dataDxfId="130"/>
    <tableColumn id="3" xr3:uid="{00BD204A-1182-4612-A32A-03FAAAD1C5B3}" name="best_difference_vector_r" dataDxfId="129"/>
    <tableColumn id="4" xr3:uid="{EA4F656D-3132-4F0F-90EB-703FEFD588E3}" name="seed_a_e" dataDxfId="128"/>
    <tableColumn id="5" xr3:uid="{2119A095-4FE6-40A2-BB73-772A4DBC0853}" name="seed_b_e" dataDxfId="127"/>
    <tableColumn id="6" xr3:uid="{43B41629-39C8-4499-96ED-D757A61D611E}" name="seed_d_e" dataDxfId="126"/>
    <tableColumn id="7" xr3:uid="{38B71045-B36F-4D69-907D-F3535FE6FAC7}" name="seed_c_I_sst" dataDxfId="125"/>
    <tableColumn id="8" xr3:uid="{3B6EBF4F-F34C-44BC-A921-2C293371AFF9}" name="seed_c_I_vip" dataDxfId="124"/>
    <tableColumn id="9" xr3:uid="{CE4D64C6-BC0F-45E5-BCA1-0F3DD9D0F6BB}" name="seed_c_I_pv" dataDxfId="123"/>
    <tableColumn id="10" xr3:uid="{A85130F6-49C1-4A18-82C6-0F9062ADA2E3}" name="seed_r_0_sst" dataDxfId="122"/>
    <tableColumn id="11" xr3:uid="{9A75ADE8-D030-4790-AEA1-1C6238B966A2}" name="seed_r_0_vip" dataDxfId="121"/>
    <tableColumn id="12" xr3:uid="{FFF57A59-AE10-4D44-81FB-52C5CBCFEC25}" name="seed_r_0_pv" dataDxfId="120"/>
    <tableColumn id="13" xr3:uid="{6D48A2DF-2920-4376-A540-3067A2DBBF7B}" name="I_background_e" dataDxfId="119"/>
    <tableColumn id="14" xr3:uid="{C0D2BFAA-4FDB-49F3-A3D6-4B86953BBAF1}" name="I_background_i" dataDxfId="118"/>
    <tableColumn id="15" xr3:uid="{B4080DB5-B404-4E2F-AA52-5F60D4B8F71E}" name="I_background_dend" dataDxfId="117"/>
    <tableColumn id="16" xr3:uid="{78855599-A588-4661-8E05-CC2213BB031B}" name="mu_ee" dataDxfId="116"/>
    <tableColumn id="17" xr3:uid="{2B08E395-BD03-4337-B69F-505205876C59}" name="mu_ie" dataDxfId="115"/>
    <tableColumn id="18" xr3:uid="{17EE54A1-EF0E-4B12-B040-DE29E5B25B0E}" name="e_grad_min" dataDxfId="114"/>
    <tableColumn id="19" xr3:uid="{1291F550-B65C-4783-B993-83CF16A2575B}" name="balloon_kappa" dataDxfId="113"/>
    <tableColumn id="20" xr3:uid="{9534CA96-35D8-4100-8608-98B62DE50899}" name="balloon_gamma" dataDxfId="112"/>
    <tableColumn id="21" xr3:uid="{E372A247-0964-467C-9715-0710A4B32F4D}" name="balloon_tau" dataDxfId="111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5F27522-66E5-4CAD-A776-48231BCC5378}" name="Table20" displayName="Table20" ref="A22:U32" headerRowDxfId="110" headerRowBorderDxfId="109" tableBorderDxfId="108">
  <autoFilter ref="A22:U32" xr:uid="{C5F27522-66E5-4CAD-A776-48231BCC5378}"/>
  <tableColumns count="21">
    <tableColumn id="1" xr3:uid="{C0E199AB-EA77-41D7-B34F-40752CC13826}" name="final_evaluation_seed" totalsRowLabel="Total" dataDxfId="107" totalsRowDxfId="106"/>
    <tableColumn id="2" xr3:uid="{20EC2763-260E-4D89-9E2E-C3FA0D892A31}" name="best_pearson_r" dataDxfId="105">
      <calculatedColumnFormula>(B2-B$17)/B$19</calculatedColumnFormula>
    </tableColumn>
    <tableColumn id="3" xr3:uid="{0D799710-AB04-42CE-B929-4C269ACD8A9D}" name="best_difference_vector_r" dataDxfId="104">
      <calculatedColumnFormula>(C2-C$17)/C$19</calculatedColumnFormula>
    </tableColumn>
    <tableColumn id="4" xr3:uid="{F05464EF-6EB0-4999-B612-060599124E20}" name="seed_a_e" dataDxfId="103">
      <calculatedColumnFormula>(D2-D$17)/D$19</calculatedColumnFormula>
    </tableColumn>
    <tableColumn id="5" xr3:uid="{6A36B8C8-D20E-400B-B1AB-3BE5CFE22404}" name="seed_b_e" dataDxfId="102">
      <calculatedColumnFormula>(E2-E$17)/E$19</calculatedColumnFormula>
    </tableColumn>
    <tableColumn id="6" xr3:uid="{356296AE-61EA-4910-8552-372F0CBA58E9}" name="seed_d_e" dataDxfId="101">
      <calculatedColumnFormula>(F2-F$17)/F$19</calculatedColumnFormula>
    </tableColumn>
    <tableColumn id="7" xr3:uid="{D0072FDE-5ED8-442B-933C-60DA405E2140}" name="seed_c_I_sst" dataDxfId="100">
      <calculatedColumnFormula>(G2-G$17)/G$19</calculatedColumnFormula>
    </tableColumn>
    <tableColumn id="8" xr3:uid="{475FCB14-17C7-4600-B64D-5305708129D1}" name="seed_c_I_vip" dataDxfId="99">
      <calculatedColumnFormula>(H2-H$17)/H$19</calculatedColumnFormula>
    </tableColumn>
    <tableColumn id="9" xr3:uid="{8DA305B1-1787-401A-B635-8F01C968940C}" name="seed_c_I_pv" dataDxfId="98">
      <calculatedColumnFormula>(I2-I$17)/I$19</calculatedColumnFormula>
    </tableColumn>
    <tableColumn id="10" xr3:uid="{99EA0776-03DD-4283-B952-50843E63108A}" name="seed_r_0_sst" dataDxfId="97">
      <calculatedColumnFormula>(J2-J$17)/J$19</calculatedColumnFormula>
    </tableColumn>
    <tableColumn id="11" xr3:uid="{596CBE18-5967-4CFC-AA04-B3256D9A29AE}" name="seed_r_0_vip" dataDxfId="96">
      <calculatedColumnFormula>(K2-K$17)/K$19</calculatedColumnFormula>
    </tableColumn>
    <tableColumn id="12" xr3:uid="{15973661-29DE-45D9-A75F-FBC44DAB6149}" name="seed_r_0_pv" dataDxfId="95">
      <calculatedColumnFormula>(L2-L$17)/L$19</calculatedColumnFormula>
    </tableColumn>
    <tableColumn id="13" xr3:uid="{BDACEA53-7DD5-4051-832A-6BC449BBA433}" name="I_background_e" dataDxfId="94">
      <calculatedColumnFormula>(M2-M$17)/M$19</calculatedColumnFormula>
    </tableColumn>
    <tableColumn id="14" xr3:uid="{A6D1142E-BEFE-4668-AD5D-57A8C34BD2E2}" name="I_background_i" dataDxfId="93">
      <calculatedColumnFormula>(N2-N$17)/N$19</calculatedColumnFormula>
    </tableColumn>
    <tableColumn id="15" xr3:uid="{76F216FA-5560-4A83-BC12-2190B72144A4}" name="I_background_dend" dataDxfId="92">
      <calculatedColumnFormula>(O2-O$17)/O$19</calculatedColumnFormula>
    </tableColumn>
    <tableColumn id="16" xr3:uid="{923534A9-34A7-400B-A7BA-C6B6D7656ABA}" name="mu_ee" dataDxfId="91">
      <calculatedColumnFormula>(P2-P$17)/P$19</calculatedColumnFormula>
    </tableColumn>
    <tableColumn id="17" xr3:uid="{14F13ADA-964F-486F-B481-4F4D9AC0ACA5}" name="mu_ie" dataDxfId="90">
      <calculatedColumnFormula>(Q2-Q$17)/Q$19</calculatedColumnFormula>
    </tableColumn>
    <tableColumn id="18" xr3:uid="{D985AF65-3489-4235-9BDC-572AAD6BF24C}" name="e_grad_min" dataDxfId="89">
      <calculatedColumnFormula>(R2-R$17)/R$19</calculatedColumnFormula>
    </tableColumn>
    <tableColumn id="19" xr3:uid="{DAED7033-C306-4AC0-B10A-9492EB5E8A31}" name="balloon_kappa" dataDxfId="88">
      <calculatedColumnFormula>(S2-S$17)/S$19</calculatedColumnFormula>
    </tableColumn>
    <tableColumn id="20" xr3:uid="{613B4BFB-F236-443F-9EA3-703B180B954F}" name="balloon_gamma" dataDxfId="87">
      <calculatedColumnFormula>(T2-T$17)/T$19</calculatedColumnFormula>
    </tableColumn>
    <tableColumn id="21" xr3:uid="{CF78233D-9905-4DA4-AFAF-D8810740788C}" name="balloon_tau" totalsRowFunction="sum" dataDxfId="86" totalsRowDxfId="85">
      <calculatedColumnFormula>(U2-U$17)/U$19</calculatedColumnFormula>
    </tableColumn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30CC90B-5DA4-47B5-B97F-6E46FE6E2C86}" name="Table32" displayName="Table32" ref="A77:C87" headerRowDxfId="84" dataDxfId="82" headerRowBorderDxfId="83" tableBorderDxfId="81" totalsRowBorderDxfId="80">
  <autoFilter ref="A77:C87" xr:uid="{130CC90B-5DA4-47B5-B97F-6E46FE6E2C86}"/>
  <tableColumns count="3">
    <tableColumn id="1" xr3:uid="{BEB68755-0D3D-4EA9-B92D-8D870499889A}" name="final_evaluation_seed" totalsRowLabel="Total" dataDxfId="79" totalsRowDxfId="78"/>
    <tableColumn id="2" xr3:uid="{B0E0C2F8-C260-45D8-B0C8-12C373D2ED7F}" name="best_pearson_r" dataDxfId="77" totalsRowDxfId="76"/>
    <tableColumn id="3" xr3:uid="{D45076E7-DC49-4261-BA00-8A6F2AA8ED28}" name="best_difference_vector_r" totalsRowFunction="sum" dataDxfId="75" totalsRowDxfId="74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7EBF3CF-8121-445C-934B-7BA8EAFCB35B}" name="Table33" displayName="Table33" ref="F77:I87" totalsRowShown="0" headerRowDxfId="73" headerRowBorderDxfId="72" tableBorderDxfId="71">
  <autoFilter ref="F77:I87" xr:uid="{B7EBF3CF-8121-445C-934B-7BA8EAFCB35B}"/>
  <tableColumns count="4">
    <tableColumn id="1" xr3:uid="{F3D81A77-240B-4341-A370-982BCE706467}" name="final_evaluation_seed" dataDxfId="70"/>
    <tableColumn id="2" xr3:uid="{E1544024-0896-43F4-A452-7D342C70FD6A}" name="best_pearson_r" dataDxfId="69">
      <calculatedColumnFormula>Table32[[#This Row],[best_pearson_r]]^2</calculatedColumnFormula>
    </tableColumn>
    <tableColumn id="3" xr3:uid="{484759CA-AF62-4630-AB69-8BE04FFD0378}" name="best_difference_vector_r" dataDxfId="68">
      <calculatedColumnFormula>Table32[[#This Row],[best_difference_vector_r]]^2</calculatedColumnFormula>
    </tableColumn>
    <tableColumn id="4" xr3:uid="{71A368F7-FF59-4C82-BF74-F9DB068563C0}" name="sum of R^2" dataDxfId="67">
      <calculatedColumnFormula>Table33[[#This Row],[best_pearson_r]]+Table33[[#This Row],[best_difference_vector_r]]</calculatedColumnFormula>
    </tableColumn>
  </tableColumns>
  <tableStyleInfo name="TableStyleMedium2" showFirstColumn="0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5512B5A-5AD6-42A4-A605-60934FF0F564}" name="Table23" displayName="Table23" ref="A50:L60" totalsRowShown="0" headerRowDxfId="66" headerRowBorderDxfId="65" tableBorderDxfId="64">
  <autoFilter ref="A50:L60" xr:uid="{55512B5A-5AD6-42A4-A605-60934FF0F564}"/>
  <tableColumns count="12">
    <tableColumn id="1" xr3:uid="{0EF454CB-83C9-4D43-892C-22B0D4354130}" name="Column1" dataDxfId="63"/>
    <tableColumn id="2" xr3:uid="{278B6A16-7B9A-44D4-9B79-3E3C3C9AADB3}" name="seed_a_e" dataDxfId="62">
      <calculatedColumnFormula>D2/B$46</calculatedColumnFormula>
    </tableColumn>
    <tableColumn id="3" xr3:uid="{19814F94-E875-4959-AFE5-7848DB2FC6EC}" name="seed_b_e">
      <calculatedColumnFormula>E2/C$46</calculatedColumnFormula>
    </tableColumn>
    <tableColumn id="4" xr3:uid="{26273488-98FC-463E-B6A5-5DFE62C616FE}" name="seed_d_e">
      <calculatedColumnFormula>F2/D$46</calculatedColumnFormula>
    </tableColumn>
    <tableColumn id="5" xr3:uid="{46DC52AF-1B56-4371-BA56-6F8CBC3657BF}" name="seed_c_I_sst">
      <calculatedColumnFormula>G2/E$46</calculatedColumnFormula>
    </tableColumn>
    <tableColumn id="6" xr3:uid="{F009B964-AC29-4E8E-A4AA-F5960F21DDB1}" name="seed_c_I_vip">
      <calculatedColumnFormula>H2/F$46</calculatedColumnFormula>
    </tableColumn>
    <tableColumn id="7" xr3:uid="{AA077223-D4C5-4A3D-BBCB-DD0D5E88B1D0}" name="seed_c_I_pv">
      <calculatedColumnFormula>I2/G$46</calculatedColumnFormula>
    </tableColumn>
    <tableColumn id="8" xr3:uid="{3688962E-091B-46FB-863C-1C6868F0EC3B}" name="seed_r_0_sst">
      <calculatedColumnFormula>J2/H$46</calculatedColumnFormula>
    </tableColumn>
    <tableColumn id="9" xr3:uid="{CA79D955-E6B5-4BBE-AC6B-1F5A648DBD97}" name="seed_r_0_vip">
      <calculatedColumnFormula>K2/I$46</calculatedColumnFormula>
    </tableColumn>
    <tableColumn id="10" xr3:uid="{40D401B7-4651-43DA-A526-6D0D5CEB229D}" name="seed_r_0_pv">
      <calculatedColumnFormula>L2/J$46</calculatedColumnFormula>
    </tableColumn>
    <tableColumn id="11" xr3:uid="{E64D061D-0CFC-4D4D-BEB3-3CFA3EC77FEC}" name="best_pearson_r" dataDxfId="61"/>
    <tableColumn id="12" xr3:uid="{B7C266CC-9B34-4746-886C-22843A98BDBD}" name="best_difference_vector_r" dataDxfId="60"/>
  </tableColumns>
  <tableStyleInfo name="TableStyleMedium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D09C930-E854-4E6C-82B9-35C9655B8B61}" name="Table26" displayName="Table26" ref="N50:Y60" totalsRowShown="0">
  <autoFilter ref="N50:Y60" xr:uid="{7D09C930-E854-4E6C-82B9-35C9655B8B61}"/>
  <tableColumns count="12">
    <tableColumn id="1" xr3:uid="{016F4276-D961-4FD1-B77D-67CC688C159B}" name="final_evaluation_seed"/>
    <tableColumn id="2" xr3:uid="{4C873845-2678-47CC-A73A-84DFB574AD5C}" name="seed_a_e" dataDxfId="59">
      <calculatedColumnFormula>Table23[[#This Row],[seed_a_e]]</calculatedColumnFormula>
    </tableColumn>
    <tableColumn id="3" xr3:uid="{9FB2A1BD-0F7E-41E8-AC5A-2FAE7768370C}" name="seed_b_e" dataDxfId="58">
      <calculatedColumnFormula>Table23[[#This Row],[seed_b_e]]</calculatedColumnFormula>
    </tableColumn>
    <tableColumn id="4" xr3:uid="{9ED76BBE-98BF-4E28-B5A7-4A6BEF2388C4}" name="seed_d_e" dataDxfId="57">
      <calculatedColumnFormula>Table23[[#This Row],[seed_d_e]]</calculatedColumnFormula>
    </tableColumn>
    <tableColumn id="5" xr3:uid="{C94EA546-E3E3-4B2B-90CB-D159F27375DF}" name="seed_c_I_sst" dataDxfId="56">
      <calculatedColumnFormula>Table23[[#This Row],[seed_c_I_sst]]</calculatedColumnFormula>
    </tableColumn>
    <tableColumn id="6" xr3:uid="{0568E36A-ED4B-42AA-AA46-663A3BBEC902}" name="seed_c_I_vip" dataDxfId="55">
      <calculatedColumnFormula>Table23[[#This Row],[seed_c_I_vip]]</calculatedColumnFormula>
    </tableColumn>
    <tableColumn id="7" xr3:uid="{2D78BB87-D5C8-41D2-B184-ED1CD1165E46}" name="seed_c_I_pv" dataDxfId="54">
      <calculatedColumnFormula>Table23[[#This Row],[seed_c_I_pv]]</calculatedColumnFormula>
    </tableColumn>
    <tableColumn id="8" xr3:uid="{1D853EFF-C894-4D9C-97F1-C40D40F08585}" name="seed_r_0_sst" dataDxfId="53">
      <calculatedColumnFormula>Table23[[#This Row],[seed_r_0_sst]]</calculatedColumnFormula>
    </tableColumn>
    <tableColumn id="9" xr3:uid="{87A5087C-01D3-45B6-A5DF-EE0E483DA5C6}" name="seed_r_0_vip" dataDxfId="52">
      <calculatedColumnFormula>Table23[[#This Row],[seed_r_0_vip]]</calculatedColumnFormula>
    </tableColumn>
    <tableColumn id="10" xr3:uid="{1D9B3506-F84A-43D4-BD42-C8C62A953A9B}" name="seed_r_0_pv" dataDxfId="51">
      <calculatedColumnFormula>Table23[[#This Row],[seed_r_0_pv]]</calculatedColumnFormula>
    </tableColumn>
    <tableColumn id="11" xr3:uid="{0B6CF83F-A1CF-4E3C-82E2-3C7108926CB7}" name="best_pearson_r" dataDxfId="50"/>
    <tableColumn id="12" xr3:uid="{8116CD38-BCD5-42BB-8A36-2012EB4FD001}" name="best_difference_vector_r" dataDxfId="49"/>
  </tableColumns>
  <tableStyleInfo name="TableStyleMedium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FBD4250-BAE0-41BC-97CC-9BDD36A09171}" name="Table28" displayName="Table28" ref="A63:L73" totalsRowShown="0" headerRowDxfId="48" headerRowBorderDxfId="47" tableBorderDxfId="46">
  <autoFilter ref="A63:L73" xr:uid="{2FBD4250-BAE0-41BC-97CC-9BDD36A09171}"/>
  <tableColumns count="12">
    <tableColumn id="1" xr3:uid="{B4490C8F-A623-46A3-BD03-9EF1B06FC551}" name="final_evaluation_seed" dataDxfId="45"/>
    <tableColumn id="2" xr3:uid="{5F8175F6-987F-4B2D-829A-9B6C84ECECB1}" name="seed_a_e" dataDxfId="44">
      <calculatedColumnFormula>LOG(B51,2)</calculatedColumnFormula>
    </tableColumn>
    <tableColumn id="3" xr3:uid="{A194688A-F8A3-4E25-8AA8-3F0D332E48AC}" name="seed_b_e" dataDxfId="43">
      <calculatedColumnFormula>LOG(C51,2)</calculatedColumnFormula>
    </tableColumn>
    <tableColumn id="4" xr3:uid="{28D14303-AF43-49B3-9D20-9892F101B73C}" name="seed_d_e" dataDxfId="42">
      <calculatedColumnFormula>LOG(D51,2)</calculatedColumnFormula>
    </tableColumn>
    <tableColumn id="5" xr3:uid="{C781CCD2-FFA6-4237-98D5-FFA2409809E2}" name="seed_c_I_sst" dataDxfId="41">
      <calculatedColumnFormula>LOG(E51,2)</calculatedColumnFormula>
    </tableColumn>
    <tableColumn id="6" xr3:uid="{3CA982C7-8F81-4C35-AAE4-D65611E41123}" name="seed_c_I_vip" dataDxfId="40">
      <calculatedColumnFormula>LOG(F51,2)</calculatedColumnFormula>
    </tableColumn>
    <tableColumn id="7" xr3:uid="{0E6094B7-3705-4FE9-99F4-A307F289DD8A}" name="seed_c_I_pv" dataDxfId="39">
      <calculatedColumnFormula>LOG(G51,2)</calculatedColumnFormula>
    </tableColumn>
    <tableColumn id="8" xr3:uid="{B886920C-27CD-4855-A527-9226DF1C1987}" name="seed_r_0_sst" dataDxfId="38">
      <calculatedColumnFormula>LOG(H51,2)</calculatedColumnFormula>
    </tableColumn>
    <tableColumn id="9" xr3:uid="{008023C7-5B0F-4F74-B0B6-9E4FE2C9AF92}" name="seed_r_0_vip" dataDxfId="37">
      <calculatedColumnFormula>LOG(I51,2)</calculatedColumnFormula>
    </tableColumn>
    <tableColumn id="10" xr3:uid="{6594ECF7-B8B8-451D-8861-41ED5893CD85}" name="seed_r_0_pv" dataDxfId="36">
      <calculatedColumnFormula>LOG(J51,2)</calculatedColumnFormula>
    </tableColumn>
    <tableColumn id="11" xr3:uid="{01D48AB5-4BFC-4F00-BDF7-E5FE3A16755E}" name="best_pearson_r" dataDxfId="35"/>
    <tableColumn id="12" xr3:uid="{B95368D8-FDC0-4D9D-9B12-3540C021B1C6}" name="best_difference_vector_r" dataDxfId="34"/>
  </tableColumns>
  <tableStyleInfo name="TableStyleMedium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806A620-3E6B-4861-AE70-E4C12B09B013}" name="Table31" displayName="Table31" ref="N63:Y73" totalsRowShown="0">
  <autoFilter ref="N63:Y73" xr:uid="{2806A620-3E6B-4861-AE70-E4C12B09B013}"/>
  <tableColumns count="12">
    <tableColumn id="1" xr3:uid="{00CF6880-3883-432C-B0EF-EBC8FF079300}" name="final_evaluation_seed"/>
    <tableColumn id="2" xr3:uid="{A0747E35-5BF2-4693-B7BD-C2D9E37B4979}" name="seed_a_e" dataDxfId="33">
      <calculatedColumnFormula>Table28[[#This Row],[seed_a_e]]</calculatedColumnFormula>
    </tableColumn>
    <tableColumn id="3" xr3:uid="{128F7D4C-0DE3-413F-B1BE-08D0594F124E}" name="seed_b_e" dataDxfId="32">
      <calculatedColumnFormula>Table28[[#This Row],[seed_b_e]]</calculatedColumnFormula>
    </tableColumn>
    <tableColumn id="4" xr3:uid="{6EECB48C-B6DC-4F34-97D7-C5B88F438774}" name="seed_d_e" dataDxfId="31">
      <calculatedColumnFormula>Table28[[#This Row],[seed_d_e]]</calculatedColumnFormula>
    </tableColumn>
    <tableColumn id="5" xr3:uid="{722296E4-DE1C-4E97-8A2C-C282870189B4}" name="seed_c_I_sst" dataDxfId="30">
      <calculatedColumnFormula>Table28[[#This Row],[seed_c_I_sst]]</calculatedColumnFormula>
    </tableColumn>
    <tableColumn id="6" xr3:uid="{9850F111-136F-4503-9F3D-64618026D1B3}" name="seed_c_I_vip" dataDxfId="29">
      <calculatedColumnFormula>Table28[[#This Row],[seed_c_I_vip]]</calculatedColumnFormula>
    </tableColumn>
    <tableColumn id="7" xr3:uid="{D8B2F850-139F-4CCC-A97D-EB67049313FD}" name="seed_c_I_pv" dataDxfId="28">
      <calculatedColumnFormula>Table28[[#This Row],[seed_c_I_pv]]</calculatedColumnFormula>
    </tableColumn>
    <tableColumn id="8" xr3:uid="{E82809A0-55FA-415B-BCEA-A2A85402A4DD}" name="seed_r_0_sst" dataDxfId="27">
      <calculatedColumnFormula>Table28[[#This Row],[seed_r_0_sst]]</calculatedColumnFormula>
    </tableColumn>
    <tableColumn id="9" xr3:uid="{058856AF-3C19-450F-A349-EA74AEE2DFBF}" name="seed_r_0_vip" dataDxfId="26">
      <calculatedColumnFormula>Table28[[#This Row],[seed_r_0_vip]]</calculatedColumnFormula>
    </tableColumn>
    <tableColumn id="10" xr3:uid="{6B0B7E7F-2BC9-454F-B571-33AAB628926A}" name="seed_r_0_pv" dataDxfId="25">
      <calculatedColumnFormula>Table28[[#This Row],[seed_r_0_pv]]</calculatedColumnFormula>
    </tableColumn>
    <tableColumn id="11" xr3:uid="{685C0F06-FC6C-4110-8528-A6A019C29B89}" name="best_pearson_r" dataDxfId="24"/>
    <tableColumn id="12" xr3:uid="{225E3DAB-1D3B-4C2C-88C0-11CD52BBB66B}" name="best_difference_vector_r" dataDxfId="23"/>
  </tableColumns>
  <tableStyleInfo name="TableStyleMedium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97A1E99-7397-485F-8B54-E30877E39C3B}" name="Table12" displayName="Table12" ref="A1:K11" totalsRowShown="0" headerRowDxfId="22" dataDxfId="20" headerRowBorderDxfId="21" tableBorderDxfId="19" totalsRowBorderDxfId="18">
  <autoFilter ref="A1:K11" xr:uid="{197A1E99-7397-485F-8B54-E30877E39C3B}"/>
  <tableColumns count="11">
    <tableColumn id="1" xr3:uid="{DD6930EE-BF2D-4183-A338-8FDAEDC32845}" name="final_evaluation_seed" dataDxfId="17"/>
    <tableColumn id="2" xr3:uid="{A8099FF3-60E5-4398-AB58-AB40ED92AE8E}" name="12345" dataDxfId="16"/>
    <tableColumn id="3" xr3:uid="{1F7752E8-EDC2-4D7F-889D-BA709136B80B}" name="24690" dataDxfId="15"/>
    <tableColumn id="4" xr3:uid="{2FE03160-264C-4C31-8E1B-28EAED0A37C2}" name="37035" dataDxfId="14"/>
    <tableColumn id="5" xr3:uid="{4D9BA2DF-D2F3-4C91-8198-EBD06A8DC8B6}" name="49380" dataDxfId="13"/>
    <tableColumn id="6" xr3:uid="{A7D1C5DF-C43A-42E3-903D-0BCA971A941C}" name="61725" dataDxfId="12"/>
    <tableColumn id="7" xr3:uid="{59CB4E09-5299-4718-AA8E-6F2BEBF226B3}" name="74070" dataDxfId="11"/>
    <tableColumn id="8" xr3:uid="{ABA60371-89D5-4C1D-8179-0AA44B054F20}" name="86415" dataDxfId="10"/>
    <tableColumn id="9" xr3:uid="{1EA815C9-C24B-44FD-B57E-C8395A318CC0}" name="98760" dataDxfId="9"/>
    <tableColumn id="10" xr3:uid="{D72A3788-A18B-4791-90B3-9E20D3BEB894}" name="111105" dataDxfId="8"/>
    <tableColumn id="11" xr3:uid="{461AB8F1-9499-4A07-A1F6-DDE3A2953C1F}" name="123450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849C-2D02-46F4-ACC4-400EB6662519}">
  <sheetPr codeName="Sheet1"/>
  <dimension ref="A1:Y87"/>
  <sheetViews>
    <sheetView tabSelected="1" zoomScale="55" zoomScaleNormal="55" workbookViewId="0">
      <selection activeCell="Q85" sqref="Q85"/>
    </sheetView>
  </sheetViews>
  <sheetFormatPr defaultRowHeight="15" x14ac:dyDescent="0.25"/>
  <cols>
    <col min="1" max="1" width="29.28515625" customWidth="1"/>
    <col min="2" max="2" width="16.85546875" customWidth="1"/>
    <col min="3" max="3" width="25.5703125" customWidth="1"/>
    <col min="4" max="4" width="11.5703125" customWidth="1"/>
    <col min="5" max="5" width="14.42578125" customWidth="1"/>
    <col min="6" max="6" width="22.7109375" customWidth="1"/>
    <col min="7" max="7" width="16.85546875" customWidth="1"/>
    <col min="8" max="8" width="25.5703125" customWidth="1"/>
    <col min="9" max="10" width="14.5703125" customWidth="1"/>
    <col min="11" max="11" width="16" customWidth="1"/>
    <col min="12" max="12" width="8.42578125" customWidth="1"/>
    <col min="13" max="13" width="21.140625" customWidth="1"/>
    <col min="14" max="14" width="28" customWidth="1"/>
    <col min="15" max="15" width="20.42578125" customWidth="1"/>
    <col min="16" max="16" width="10.85546875" customWidth="1"/>
    <col min="17" max="17" width="14" customWidth="1"/>
    <col min="18" max="18" width="13.5703125" customWidth="1"/>
    <col min="19" max="19" width="16" customWidth="1"/>
    <col min="20" max="20" width="17.140625" customWidth="1"/>
    <col min="21" max="21" width="13.7109375" customWidth="1"/>
    <col min="22" max="22" width="13.28515625" customWidth="1"/>
    <col min="23" max="23" width="16" customWidth="1"/>
    <col min="25" max="25" width="10.42578125" customWidth="1"/>
  </cols>
  <sheetData>
    <row r="1" spans="1:23" x14ac:dyDescent="0.25">
      <c r="A1" t="s">
        <v>18</v>
      </c>
      <c r="B1" t="s">
        <v>20</v>
      </c>
      <c r="C1" t="s">
        <v>19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3" x14ac:dyDescent="0.25">
      <c r="A2" t="s">
        <v>21</v>
      </c>
      <c r="B2" s="19">
        <v>0.712406808509643</v>
      </c>
      <c r="C2" s="19">
        <v>0.52304667728695398</v>
      </c>
      <c r="D2" s="19">
        <v>0.69340773447425397</v>
      </c>
      <c r="E2" s="19">
        <v>1.1541217117804401</v>
      </c>
      <c r="F2" s="19">
        <v>1.0002788626868001E-2</v>
      </c>
      <c r="G2" s="19">
        <v>317.46365455468998</v>
      </c>
      <c r="H2" s="19">
        <v>149.908973743926</v>
      </c>
      <c r="I2" s="19">
        <v>799.99940949574795</v>
      </c>
      <c r="J2" s="19">
        <v>-1.6886028927443799E-4</v>
      </c>
      <c r="K2" s="19">
        <v>-163.51282790285501</v>
      </c>
      <c r="L2" s="19">
        <v>-260.814816952417</v>
      </c>
      <c r="M2" s="19">
        <v>249.944372693215</v>
      </c>
      <c r="N2" s="19">
        <v>282.06339872878402</v>
      </c>
      <c r="O2" s="19">
        <v>39.279403191200601</v>
      </c>
      <c r="P2" s="19">
        <v>1.21732841562099</v>
      </c>
      <c r="Q2" s="19">
        <v>3.4961092224547201</v>
      </c>
      <c r="R2" s="19">
        <v>0.11255193689562699</v>
      </c>
      <c r="S2" s="19">
        <v>0.101294616086198</v>
      </c>
      <c r="T2" s="19">
        <v>0.116619630354845</v>
      </c>
      <c r="U2" s="19">
        <v>1.5778363102433</v>
      </c>
    </row>
    <row r="3" spans="1:23" x14ac:dyDescent="0.25">
      <c r="A3" t="s">
        <v>22</v>
      </c>
      <c r="B3" s="19">
        <v>0.48840316014479601</v>
      </c>
      <c r="C3" s="19">
        <v>0.495336580378823</v>
      </c>
      <c r="D3" s="19">
        <v>0.899999835774972</v>
      </c>
      <c r="E3" s="19">
        <v>1.2230907775042099</v>
      </c>
      <c r="F3" s="19">
        <v>0.26861606580594299</v>
      </c>
      <c r="G3" s="19">
        <v>499.95010750964502</v>
      </c>
      <c r="H3" s="19">
        <v>190.96348697302</v>
      </c>
      <c r="I3" s="19">
        <v>34.613449478593601</v>
      </c>
      <c r="J3" s="19">
        <v>-158.05576059818199</v>
      </c>
      <c r="K3" s="19">
        <v>-153.60602592281001</v>
      </c>
      <c r="L3" s="19">
        <v>-221.04769286954399</v>
      </c>
      <c r="M3" s="19">
        <v>418.25670506356499</v>
      </c>
      <c r="N3" s="19">
        <v>330.038709874456</v>
      </c>
      <c r="O3" s="19">
        <v>32.478360119580003</v>
      </c>
      <c r="P3" s="19">
        <v>0.51822808473398296</v>
      </c>
      <c r="Q3" s="19">
        <v>5.9949632502605397</v>
      </c>
      <c r="R3" s="19">
        <v>0.44945725927744501</v>
      </c>
      <c r="S3" s="19">
        <v>0.100567648699738</v>
      </c>
      <c r="T3" s="19">
        <v>0.21097341589110599</v>
      </c>
      <c r="U3" s="19">
        <v>2.4971317426222299</v>
      </c>
      <c r="W3" t="s">
        <v>39</v>
      </c>
    </row>
    <row r="4" spans="1:23" x14ac:dyDescent="0.25">
      <c r="A4" t="s">
        <v>23</v>
      </c>
      <c r="B4" s="19">
        <v>0.59089730657681105</v>
      </c>
      <c r="C4" s="19">
        <v>0.58339645238371796</v>
      </c>
      <c r="D4" s="19">
        <v>3.3229031894337797E-2</v>
      </c>
      <c r="E4" s="19">
        <v>23.952010376470401</v>
      </c>
      <c r="F4" s="19">
        <v>0.54754900300381404</v>
      </c>
      <c r="G4" s="19">
        <v>277.25677446956797</v>
      </c>
      <c r="H4" s="19">
        <v>66.403590987990199</v>
      </c>
      <c r="I4" s="19">
        <v>141.88298139688001</v>
      </c>
      <c r="J4" s="19">
        <v>-76.313235320617693</v>
      </c>
      <c r="K4" s="19">
        <v>-63.030499995774299</v>
      </c>
      <c r="L4" s="19">
        <v>-125.121278511163</v>
      </c>
      <c r="M4" s="19">
        <v>332.23429799566497</v>
      </c>
      <c r="N4" s="19">
        <v>285.69091361756898</v>
      </c>
      <c r="O4" s="19">
        <v>27.272250147894098</v>
      </c>
      <c r="P4" s="19">
        <v>1.8613438661077599</v>
      </c>
      <c r="Q4" s="19">
        <v>4.2838259514911803</v>
      </c>
      <c r="R4" s="19">
        <v>0.10000825970358</v>
      </c>
      <c r="S4" s="19">
        <v>0.108603346406101</v>
      </c>
      <c r="T4" s="19">
        <v>1.33482998823821</v>
      </c>
      <c r="U4" s="19">
        <v>0.39592331101205303</v>
      </c>
      <c r="W4">
        <f>PEARSON(B2:B11,C2:C11)</f>
        <v>0.15529912764928527</v>
      </c>
    </row>
    <row r="5" spans="1:23" x14ac:dyDescent="0.25">
      <c r="A5" t="s">
        <v>24</v>
      </c>
      <c r="B5" s="19">
        <v>0.67887988874580396</v>
      </c>
      <c r="C5" s="19">
        <v>0.39443555162616101</v>
      </c>
      <c r="D5" s="19">
        <v>8.5018842313639195E-2</v>
      </c>
      <c r="E5" s="19">
        <v>25.806089189863901</v>
      </c>
      <c r="F5" s="19">
        <v>2.0983300087634702</v>
      </c>
      <c r="G5" s="19">
        <v>349.38359364654701</v>
      </c>
      <c r="H5" s="19">
        <v>291.16914182620701</v>
      </c>
      <c r="I5" s="19">
        <v>427.15749039847998</v>
      </c>
      <c r="J5" s="19">
        <v>-135.80002295956999</v>
      </c>
      <c r="K5" s="19">
        <v>-23.3552122430327</v>
      </c>
      <c r="L5" s="19">
        <v>-102.386686732383</v>
      </c>
      <c r="M5" s="19">
        <v>352.82756797919097</v>
      </c>
      <c r="N5" s="19">
        <v>375.80018132998202</v>
      </c>
      <c r="O5" s="19">
        <v>57.3813719412165</v>
      </c>
      <c r="P5" s="19">
        <v>5.9714044068960703</v>
      </c>
      <c r="Q5" s="19">
        <v>5.3269490301681097</v>
      </c>
      <c r="R5" s="19">
        <v>0.20186132703462301</v>
      </c>
      <c r="S5" s="19">
        <v>1.8813684765391401</v>
      </c>
      <c r="T5" s="19">
        <v>0.94484692942459003</v>
      </c>
      <c r="U5" s="19">
        <v>1.6140854471050099</v>
      </c>
    </row>
    <row r="6" spans="1:23" x14ac:dyDescent="0.25">
      <c r="A6" t="s">
        <v>25</v>
      </c>
      <c r="B6" s="19">
        <v>0.51157923348573597</v>
      </c>
      <c r="C6" s="19">
        <v>0.59310751110297899</v>
      </c>
      <c r="D6" s="19">
        <v>9.0760464675238003E-2</v>
      </c>
      <c r="E6" s="19">
        <v>29.514226807142698</v>
      </c>
      <c r="F6" s="19">
        <v>2.9932798923194501</v>
      </c>
      <c r="G6" s="19">
        <v>267.34238710305698</v>
      </c>
      <c r="H6" s="19">
        <v>240.17120142470799</v>
      </c>
      <c r="I6" s="19">
        <v>541.33495469381796</v>
      </c>
      <c r="J6" s="19">
        <v>-57.989441383062299</v>
      </c>
      <c r="K6" s="19">
        <v>-79.523568903671404</v>
      </c>
      <c r="L6" s="19">
        <v>-181.10071654145901</v>
      </c>
      <c r="M6" s="19">
        <v>328.66130914373701</v>
      </c>
      <c r="N6" s="19">
        <v>234.68146076384599</v>
      </c>
      <c r="O6" s="19">
        <v>48.640617215127101</v>
      </c>
      <c r="P6" s="19">
        <v>0.66329624206417603</v>
      </c>
      <c r="Q6" s="19">
        <v>5.9885827680080004</v>
      </c>
      <c r="R6" s="19">
        <v>0.44988299110504398</v>
      </c>
      <c r="S6" s="19">
        <v>0.10080594271322001</v>
      </c>
      <c r="T6" s="19">
        <v>1.3672940648941001</v>
      </c>
      <c r="U6" s="19">
        <v>1.5598435050494699</v>
      </c>
    </row>
    <row r="7" spans="1:23" x14ac:dyDescent="0.25">
      <c r="A7" t="s">
        <v>26</v>
      </c>
      <c r="B7" s="19">
        <v>0.61136346201208103</v>
      </c>
      <c r="C7" s="19">
        <v>0.46257299662969398</v>
      </c>
      <c r="D7" s="19">
        <v>0.77502620879222806</v>
      </c>
      <c r="E7" s="19">
        <v>495.85249647786901</v>
      </c>
      <c r="F7" s="19">
        <v>2.9763572802502098</v>
      </c>
      <c r="G7" s="19">
        <v>378.730858985091</v>
      </c>
      <c r="H7" s="19">
        <v>48.801914144770002</v>
      </c>
      <c r="I7" s="19">
        <v>77.776355803747705</v>
      </c>
      <c r="J7" s="19">
        <v>-283.91716712255999</v>
      </c>
      <c r="K7" s="19">
        <v>-42.522736851210396</v>
      </c>
      <c r="L7" s="19">
        <v>-362.47844823703298</v>
      </c>
      <c r="M7" s="19">
        <v>374.00585707519201</v>
      </c>
      <c r="N7" s="19">
        <v>229.52299874123099</v>
      </c>
      <c r="O7" s="19">
        <v>11.975744823062</v>
      </c>
      <c r="P7" s="19">
        <v>0.67413267245759501</v>
      </c>
      <c r="Q7" s="19">
        <v>5.9999974178098601</v>
      </c>
      <c r="R7" s="19">
        <v>0.23655072878358799</v>
      </c>
      <c r="S7" s="19">
        <v>0.10022549690346</v>
      </c>
      <c r="T7" s="19">
        <v>0.26935782511441803</v>
      </c>
      <c r="U7" s="19">
        <v>1.4268128233335999</v>
      </c>
    </row>
    <row r="8" spans="1:23" x14ac:dyDescent="0.25">
      <c r="A8" t="s">
        <v>27</v>
      </c>
      <c r="B8" s="19">
        <v>0.55681124125554704</v>
      </c>
      <c r="C8" s="19">
        <v>0.35074167737220402</v>
      </c>
      <c r="D8" s="19">
        <v>1.37245043434684E-2</v>
      </c>
      <c r="E8" s="19">
        <v>6.0301744711036198</v>
      </c>
      <c r="F8" s="19">
        <v>1.8925188860492701</v>
      </c>
      <c r="G8" s="19">
        <v>198.71706788859601</v>
      </c>
      <c r="H8" s="19">
        <v>480.92817204002102</v>
      </c>
      <c r="I8" s="19">
        <v>263.64293397417902</v>
      </c>
      <c r="J8" s="19">
        <v>-53.814553554444998</v>
      </c>
      <c r="K8" s="19">
        <v>-129.54629717373999</v>
      </c>
      <c r="L8" s="19">
        <v>-175.361219547503</v>
      </c>
      <c r="M8" s="19">
        <v>303.94088440246401</v>
      </c>
      <c r="N8" s="19">
        <v>273.73714889572699</v>
      </c>
      <c r="O8" s="19">
        <v>23.339435792740499</v>
      </c>
      <c r="P8" s="19">
        <v>1.1653244055629799</v>
      </c>
      <c r="Q8" s="19">
        <v>2.9105702589015099</v>
      </c>
      <c r="R8" s="19">
        <v>0.10224991157883501</v>
      </c>
      <c r="S8" s="19">
        <v>0.140456232076098</v>
      </c>
      <c r="T8" s="19">
        <v>1.4935508465976299</v>
      </c>
      <c r="U8" s="19">
        <v>0.39658030424374302</v>
      </c>
    </row>
    <row r="9" spans="1:23" x14ac:dyDescent="0.25">
      <c r="A9" t="s">
        <v>28</v>
      </c>
      <c r="B9" s="19">
        <v>0.65351070789674404</v>
      </c>
      <c r="C9" s="19">
        <v>0.67467449249167699</v>
      </c>
      <c r="D9" s="19">
        <v>0.13619146146423899</v>
      </c>
      <c r="E9" s="19">
        <v>62.164106759296999</v>
      </c>
      <c r="F9" s="19">
        <v>0.60126894044035195</v>
      </c>
      <c r="G9" s="19">
        <v>142.57109954864799</v>
      </c>
      <c r="H9" s="19">
        <v>126.446494183167</v>
      </c>
      <c r="I9" s="19">
        <v>311.82459910292101</v>
      </c>
      <c r="J9" s="19">
        <v>-34.564969820316499</v>
      </c>
      <c r="K9" s="19">
        <v>-31.999272103126199</v>
      </c>
      <c r="L9" s="19">
        <v>-98.957820185624698</v>
      </c>
      <c r="M9" s="19">
        <v>292.50123590147302</v>
      </c>
      <c r="N9" s="19">
        <v>271.37147153366601</v>
      </c>
      <c r="O9" s="19">
        <v>22.107023707693202</v>
      </c>
      <c r="P9" s="19">
        <v>1.38102005624965</v>
      </c>
      <c r="Q9" s="19">
        <v>4.3325973231689101</v>
      </c>
      <c r="R9" s="19">
        <v>0.32138518815565298</v>
      </c>
      <c r="S9" s="19">
        <v>0.198272602909567</v>
      </c>
      <c r="T9" s="19">
        <v>0.448120466117577</v>
      </c>
      <c r="U9" s="19">
        <v>0.80814293920319002</v>
      </c>
    </row>
    <row r="10" spans="1:23" x14ac:dyDescent="0.25">
      <c r="A10" t="s">
        <v>29</v>
      </c>
      <c r="B10" s="19">
        <v>0.60026349158933801</v>
      </c>
      <c r="C10" s="19">
        <v>0.52135653128783699</v>
      </c>
      <c r="D10" s="19">
        <v>0.132212470836512</v>
      </c>
      <c r="E10" s="19">
        <v>31.624925490314599</v>
      </c>
      <c r="F10" s="19">
        <v>2.58128374499878</v>
      </c>
      <c r="G10" s="19">
        <v>206.812381397434</v>
      </c>
      <c r="H10" s="19">
        <v>445.19689934193298</v>
      </c>
      <c r="I10" s="19">
        <v>154.16713018203399</v>
      </c>
      <c r="J10" s="19">
        <v>-9.9050363657360294E-2</v>
      </c>
      <c r="K10" s="19">
        <v>-40.582271299087402</v>
      </c>
      <c r="L10" s="19">
        <v>-116.33640018084699</v>
      </c>
      <c r="M10" s="19">
        <v>327.949623199999</v>
      </c>
      <c r="N10" s="19">
        <v>283.96197152550002</v>
      </c>
      <c r="O10" s="19">
        <v>33.227388471928798</v>
      </c>
      <c r="P10" s="19">
        <v>1.0703813500850601</v>
      </c>
      <c r="Q10" s="19">
        <v>5.5493637313373601</v>
      </c>
      <c r="R10" s="19">
        <v>0.230454066465624</v>
      </c>
      <c r="S10" s="19">
        <v>0.10680025663968799</v>
      </c>
      <c r="T10" s="19">
        <v>0.17786109165508901</v>
      </c>
      <c r="U10" s="19">
        <v>1.2350472397530501</v>
      </c>
    </row>
    <row r="11" spans="1:23" x14ac:dyDescent="0.25">
      <c r="A11" t="s">
        <v>30</v>
      </c>
      <c r="B11" s="19">
        <v>0.52796028692755004</v>
      </c>
      <c r="C11" s="19">
        <v>0.36092217938737903</v>
      </c>
      <c r="D11" s="19">
        <v>0.12292289776069899</v>
      </c>
      <c r="E11" s="19">
        <v>48.447526261387303</v>
      </c>
      <c r="F11" s="19">
        <v>0.66520321121347803</v>
      </c>
      <c r="G11" s="19">
        <v>63.525949038991001</v>
      </c>
      <c r="H11" s="19">
        <v>273.43056871220102</v>
      </c>
      <c r="I11" s="19">
        <v>294.98613618611699</v>
      </c>
      <c r="J11" s="19">
        <v>-5.55717051075115</v>
      </c>
      <c r="K11" s="19">
        <v>-25.0906794222089</v>
      </c>
      <c r="L11" s="19">
        <v>-90.542657848199894</v>
      </c>
      <c r="M11" s="19">
        <v>337.33985082356497</v>
      </c>
      <c r="N11" s="19">
        <v>258.23863001213198</v>
      </c>
      <c r="O11" s="19">
        <v>16.802151126164599</v>
      </c>
      <c r="P11" s="19">
        <v>1.50392832987264</v>
      </c>
      <c r="Q11" s="19">
        <v>4.3842426260623402</v>
      </c>
      <c r="R11" s="19">
        <v>0.44156529106103798</v>
      </c>
      <c r="S11" s="19">
        <v>0.128946976627171</v>
      </c>
      <c r="T11" s="19">
        <v>8.1200539454317905E-2</v>
      </c>
      <c r="U11" s="19">
        <v>1.7917193119714701</v>
      </c>
    </row>
    <row r="12" spans="1:23" ht="15.75" thickBot="1" x14ac:dyDescent="0.3"/>
    <row r="13" spans="1:23" x14ac:dyDescent="0.25">
      <c r="A13" s="11" t="s">
        <v>36</v>
      </c>
      <c r="B13" s="22">
        <f>AVERAGE(Table1820[best_pearson_r])</f>
        <v>0.593207558714405</v>
      </c>
      <c r="C13" s="21">
        <f>AVERAGE(Table1820[best_difference_vector_r])</f>
        <v>0.49595906499474263</v>
      </c>
      <c r="D13" s="21">
        <f>AVERAGE(Table1820[seed_a_e])</f>
        <v>0.29824934523295876</v>
      </c>
      <c r="E13" s="21">
        <f>AVERAGE(Table1820[seed_b_e])</f>
        <v>72.576876832273314</v>
      </c>
      <c r="F13" s="21">
        <f>AVERAGE(Table1820[seed_d_e])</f>
        <v>1.4634409821471634</v>
      </c>
      <c r="G13" s="21">
        <f>AVERAGE(Table1820[seed_c_I_sst])</f>
        <v>270.17538741422669</v>
      </c>
      <c r="H13" s="21">
        <f>AVERAGE(Table1820[seed_c_I_vip])</f>
        <v>231.34204433779433</v>
      </c>
      <c r="I13" s="21">
        <f>AVERAGE(Table1820[seed_c_I_pv])</f>
        <v>304.73854407125185</v>
      </c>
      <c r="J13" s="21">
        <f>AVERAGE(Table1820[seed_r_0_sst])</f>
        <v>-80.611154049345117</v>
      </c>
      <c r="K13" s="21">
        <f>AVERAGE(Table1820[seed_r_0_vip])</f>
        <v>-75.276939181751629</v>
      </c>
      <c r="L13" s="21">
        <f>AVERAGE(Table1820[seed_r_0_pv])</f>
        <v>-173.41477376061738</v>
      </c>
      <c r="M13" s="21">
        <f>AVERAGE(Table1820[I_background_e])</f>
        <v>331.76617042780663</v>
      </c>
      <c r="N13" s="21">
        <f>AVERAGE(Table1820[I_background_i])</f>
        <v>282.51068850228933</v>
      </c>
      <c r="O13" s="21">
        <f>AVERAGE(Table1820[I_background_dend])</f>
        <v>31.250374653660735</v>
      </c>
      <c r="P13" s="21">
        <f>AVERAGE(Table1820[mu_ee])</f>
        <v>1.6026387829650908</v>
      </c>
      <c r="Q13" s="21">
        <f>AVERAGE(Table1820[mu_ie])</f>
        <v>4.8267201579662524</v>
      </c>
      <c r="R13" s="21">
        <f>AVERAGE(Table1820[e_grad_min])</f>
        <v>0.26459669600610575</v>
      </c>
      <c r="S13" s="21">
        <f>AVERAGE(Table1820[balloon_kappa])</f>
        <v>0.29673415956003812</v>
      </c>
      <c r="T13" s="21">
        <f>AVERAGE(Table1820[balloon_gamma])</f>
        <v>0.64446547977418822</v>
      </c>
      <c r="U13" s="21">
        <f>AVERAGE(Table1820[balloon_tau])</f>
        <v>1.3303122934537115</v>
      </c>
    </row>
    <row r="14" spans="1:23" x14ac:dyDescent="0.25">
      <c r="A14" s="12" t="s">
        <v>37</v>
      </c>
      <c r="B14" s="22">
        <f>_xlfn.STDEV.P(Table1820[best_pearson_r])</f>
        <v>6.985591113403529E-2</v>
      </c>
      <c r="C14" s="21">
        <f>_xlfn.STDEV.P(Table1820[best_difference_vector_r])</f>
        <v>0.1005714583323683</v>
      </c>
      <c r="D14" s="21">
        <f>_xlfn.STDEV.P(Table1820[seed_a_e])</f>
        <v>0.32708552124949458</v>
      </c>
      <c r="E14" s="21">
        <f>_xlfn.STDEV.P(Table1820[seed_b_e])</f>
        <v>142.32261809524977</v>
      </c>
      <c r="F14" s="21">
        <f>_xlfn.STDEV.P(Table1820[seed_d_e])</f>
        <v>1.1056924812684605</v>
      </c>
      <c r="G14" s="21">
        <f>_xlfn.STDEV.P(Table1820[seed_c_I_sst])</f>
        <v>118.85159279680438</v>
      </c>
      <c r="H14" s="21">
        <f>_xlfn.STDEV.P(Table1820[seed_c_I_vip])</f>
        <v>139.01304093169165</v>
      </c>
      <c r="I14" s="21">
        <f>_xlfn.STDEV.P(Table1820[seed_c_I_pv])</f>
        <v>221.75546039986094</v>
      </c>
      <c r="J14" s="21">
        <f>_xlfn.STDEV.P(Table1820[seed_r_0_sst])</f>
        <v>85.063956159097458</v>
      </c>
      <c r="K14" s="21">
        <f>_xlfn.STDEV.P(Table1820[seed_r_0_vip])</f>
        <v>51.37920869009433</v>
      </c>
      <c r="L14" s="21">
        <f>_xlfn.STDEV.P(Table1820[seed_r_0_pv])</f>
        <v>82.923105947138055</v>
      </c>
      <c r="M14" s="21">
        <f>_xlfn.STDEV.P(Table1820[I_background_e])</f>
        <v>43.329742255920529</v>
      </c>
      <c r="N14" s="21">
        <f>_xlfn.STDEV.P(Table1820[I_background_i])</f>
        <v>41.060665700231496</v>
      </c>
      <c r="O14" s="21">
        <f>_xlfn.STDEV.P(Table1820[I_background_dend])</f>
        <v>13.406726668954178</v>
      </c>
      <c r="P14" s="21">
        <f>_xlfn.STDEV.P(Table1820[mu_ee])</f>
        <v>1.5084873382969142</v>
      </c>
      <c r="Q14" s="21">
        <f>_xlfn.STDEV.P(Table1820[mu_ie])</f>
        <v>1.0507412903951312</v>
      </c>
      <c r="R14" s="21">
        <f>_xlfn.STDEV.P(Table1820[e_grad_min])</f>
        <v>0.13619791407416829</v>
      </c>
      <c r="S14" s="21">
        <f>_xlfn.STDEV.P(Table1820[balloon_kappa])</f>
        <v>0.52900713153886858</v>
      </c>
      <c r="T14" s="21">
        <f>_xlfn.STDEV.P(Table1820[balloon_gamma])</f>
        <v>0.54690401979118364</v>
      </c>
      <c r="U14" s="21">
        <f>_xlfn.STDEV.P(Table1820[balloon_tau])</f>
        <v>0.61683310529164304</v>
      </c>
    </row>
    <row r="15" spans="1:23" ht="15.75" thickBot="1" x14ac:dyDescent="0.3">
      <c r="A15" s="13" t="s">
        <v>38</v>
      </c>
      <c r="B15" s="22">
        <f>VAR(Table1820[best_pearson_r])</f>
        <v>5.4220536892957876E-3</v>
      </c>
      <c r="C15" s="21">
        <f>VAR(Table1820[best_difference_vector_r])</f>
        <v>1.1238464701221437E-2</v>
      </c>
      <c r="D15" s="21">
        <f>VAR(Table1820[seed_a_e])</f>
        <v>0.1188721535678373</v>
      </c>
      <c r="E15" s="21">
        <f>VAR(Table1820[seed_b_e])</f>
        <v>22506.364023873692</v>
      </c>
      <c r="F15" s="21">
        <f>VAR(Table1820[seed_d_e])</f>
        <v>1.3583954034817833</v>
      </c>
      <c r="G15" s="21">
        <f>VAR(Table1820[seed_c_I_sst])</f>
        <v>15695.223455930452</v>
      </c>
      <c r="H15" s="21">
        <f>VAR(Table1820[seed_c_I_vip])</f>
        <v>21471.806165640202</v>
      </c>
      <c r="I15" s="21">
        <f>VAR(Table1820[seed_c_I_pv])</f>
        <v>54639.426907949201</v>
      </c>
      <c r="J15" s="21">
        <f>VAR(Table1820[seed_r_0_sst])</f>
        <v>8039.8629304853948</v>
      </c>
      <c r="K15" s="21">
        <f>VAR(Table1820[seed_r_0_vip])</f>
        <v>2933.1367618002946</v>
      </c>
      <c r="L15" s="21">
        <f>VAR(Table1820[seed_r_0_pv])</f>
        <v>7640.2683332447587</v>
      </c>
      <c r="M15" s="21">
        <f>VAR(Table1820[I_background_e])</f>
        <v>2086.0739599605763</v>
      </c>
      <c r="N15" s="21">
        <f>VAR(Table1820[I_background_i])</f>
        <v>1873.309186384638</v>
      </c>
      <c r="O15" s="21">
        <f>VAR(Table1820[I_background_dend])</f>
        <v>199.71146664005229</v>
      </c>
      <c r="P15" s="21">
        <f>VAR(Table1820[mu_ee])</f>
        <v>2.5283711664467878</v>
      </c>
      <c r="Q15" s="21">
        <f>VAR(Table1820[mu_ie])</f>
        <v>1.2267302881569182</v>
      </c>
      <c r="R15" s="21">
        <f>VAR(Table1820[e_grad_min])</f>
        <v>2.061096866461614E-2</v>
      </c>
      <c r="S15" s="21">
        <f>VAR(Table1820[balloon_kappa])</f>
        <v>0.31094282802109091</v>
      </c>
      <c r="T15" s="21">
        <f>VAR(Table1820[balloon_gamma])</f>
        <v>0.3323377854041728</v>
      </c>
      <c r="U15" s="21">
        <f>VAR(Table1820[balloon_tau])</f>
        <v>0.4227589775374791</v>
      </c>
    </row>
    <row r="16" spans="1:23" ht="15.75" thickBot="1" x14ac:dyDescent="0.3"/>
    <row r="17" spans="1:21" x14ac:dyDescent="0.25">
      <c r="A17" s="24" t="s">
        <v>32</v>
      </c>
      <c r="B17" s="25">
        <f>MIN(Table1820[best_pearson_r])</f>
        <v>0.48840316014479601</v>
      </c>
      <c r="C17" s="26">
        <f>MIN(Table1820[best_difference_vector_r])</f>
        <v>0.35074167737220402</v>
      </c>
      <c r="D17" s="26">
        <f>MIN(Table1820[seed_a_e])</f>
        <v>1.37245043434684E-2</v>
      </c>
      <c r="E17" s="26">
        <f>MIN(Table1820[seed_b_e])</f>
        <v>1.1541217117804401</v>
      </c>
      <c r="F17" s="26">
        <f>MIN(Table1820[seed_d_e])</f>
        <v>1.0002788626868001E-2</v>
      </c>
      <c r="G17" s="26">
        <f>MIN(Table1820[seed_c_I_sst])</f>
        <v>63.525949038991001</v>
      </c>
      <c r="H17" s="26">
        <f>MIN(Table1820[seed_c_I_vip])</f>
        <v>48.801914144770002</v>
      </c>
      <c r="I17" s="26">
        <f>MIN(Table1820[seed_c_I_pv])</f>
        <v>34.613449478593601</v>
      </c>
      <c r="J17" s="26">
        <f>MIN(Table1820[seed_r_0_sst])</f>
        <v>-283.91716712255999</v>
      </c>
      <c r="K17" s="26">
        <f>MIN(Table1820[seed_r_0_vip])</f>
        <v>-163.51282790285501</v>
      </c>
      <c r="L17" s="26">
        <f>MIN(Table1820[seed_r_0_pv])</f>
        <v>-362.47844823703298</v>
      </c>
      <c r="M17" s="26">
        <f>MIN(Table1820[I_background_e])</f>
        <v>249.944372693215</v>
      </c>
      <c r="N17" s="26">
        <f>MIN(Table1820[I_background_i])</f>
        <v>229.52299874123099</v>
      </c>
      <c r="O17" s="26">
        <f>MIN(Table1820[I_background_dend])</f>
        <v>11.975744823062</v>
      </c>
      <c r="P17" s="26">
        <f>MIN(Table1820[mu_ee])</f>
        <v>0.51822808473398296</v>
      </c>
      <c r="Q17" s="26">
        <f>MIN(Table1820[mu_ie])</f>
        <v>2.9105702589015099</v>
      </c>
      <c r="R17" s="26">
        <f>MIN(Table1820[e_grad_min])</f>
        <v>0.10000825970358</v>
      </c>
      <c r="S17" s="26">
        <f>MIN(Table1820[balloon_kappa])</f>
        <v>0.10022549690346</v>
      </c>
      <c r="T17" s="26">
        <f>MIN(Table1820[balloon_gamma])</f>
        <v>8.1200539454317905E-2</v>
      </c>
      <c r="U17" s="26">
        <f>MIN(Table1820[balloon_tau])</f>
        <v>0.39592331101205303</v>
      </c>
    </row>
    <row r="18" spans="1:21" x14ac:dyDescent="0.25">
      <c r="A18" s="28" t="s">
        <v>33</v>
      </c>
      <c r="B18" s="25">
        <f>MAX(Table1820[best_pearson_r])</f>
        <v>0.712406808509643</v>
      </c>
      <c r="C18" s="26">
        <f>MAX(Table1820[best_difference_vector_r])</f>
        <v>0.67467449249167699</v>
      </c>
      <c r="D18" s="26">
        <f>MAX(Table1820[seed_a_e])</f>
        <v>0.899999835774972</v>
      </c>
      <c r="E18" s="26">
        <f>MAX(Table1820[seed_b_e])</f>
        <v>495.85249647786901</v>
      </c>
      <c r="F18" s="26">
        <f>MAX(Table1820[seed_d_e])</f>
        <v>2.9932798923194501</v>
      </c>
      <c r="G18" s="26">
        <f>MAX(Table1820[seed_c_I_sst])</f>
        <v>499.95010750964502</v>
      </c>
      <c r="H18" s="26">
        <f>MAX(Table1820[seed_c_I_vip])</f>
        <v>480.92817204002102</v>
      </c>
      <c r="I18" s="26">
        <f>MAX(Table1820[seed_c_I_pv])</f>
        <v>799.99940949574795</v>
      </c>
      <c r="J18" s="26">
        <f>MAX(Table1820[seed_r_0_sst])</f>
        <v>-1.6886028927443799E-4</v>
      </c>
      <c r="K18" s="26">
        <f>MAX(Table1820[seed_r_0_vip])</f>
        <v>-23.3552122430327</v>
      </c>
      <c r="L18" s="26">
        <f>MAX(Table1820[seed_r_0_pv])</f>
        <v>-90.542657848199894</v>
      </c>
      <c r="M18" s="26">
        <f>MAX(Table1820[I_background_e])</f>
        <v>418.25670506356499</v>
      </c>
      <c r="N18" s="26">
        <f>MAX(Table1820[I_background_i])</f>
        <v>375.80018132998202</v>
      </c>
      <c r="O18" s="26">
        <f>MAX(Table1820[I_background_dend])</f>
        <v>57.3813719412165</v>
      </c>
      <c r="P18" s="26">
        <f>MAX(Table1820[mu_ee])</f>
        <v>5.9714044068960703</v>
      </c>
      <c r="Q18" s="26">
        <f>MAX(Table1820[mu_ie])</f>
        <v>5.9999974178098601</v>
      </c>
      <c r="R18" s="26">
        <f>MAX(Table1820[e_grad_min])</f>
        <v>0.44988299110504398</v>
      </c>
      <c r="S18" s="26">
        <f>MAX(Table1820[balloon_kappa])</f>
        <v>1.8813684765391401</v>
      </c>
      <c r="T18" s="26">
        <f>MAX(Table1820[balloon_gamma])</f>
        <v>1.4935508465976299</v>
      </c>
      <c r="U18" s="26">
        <f>MAX(Table1820[balloon_tau])</f>
        <v>2.4971317426222299</v>
      </c>
    </row>
    <row r="19" spans="1:21" ht="15.75" thickBot="1" x14ac:dyDescent="0.3">
      <c r="A19" s="27" t="s">
        <v>34</v>
      </c>
      <c r="B19" s="25">
        <f>B18-B17</f>
        <v>0.22400364836484699</v>
      </c>
      <c r="C19" s="26">
        <f t="shared" ref="C19:U19" si="0">C18-C17</f>
        <v>0.32393281511947297</v>
      </c>
      <c r="D19" s="26">
        <f t="shared" si="0"/>
        <v>0.88627533143150361</v>
      </c>
      <c r="E19" s="26">
        <f t="shared" si="0"/>
        <v>494.69837476608859</v>
      </c>
      <c r="F19" s="26">
        <f t="shared" si="0"/>
        <v>2.9832771036925823</v>
      </c>
      <c r="G19" s="26">
        <f t="shared" si="0"/>
        <v>436.42415847065399</v>
      </c>
      <c r="H19" s="26">
        <f t="shared" si="0"/>
        <v>432.126257895251</v>
      </c>
      <c r="I19" s="26">
        <f t="shared" si="0"/>
        <v>765.38596001715439</v>
      </c>
      <c r="J19" s="26">
        <f t="shared" si="0"/>
        <v>283.91699826227074</v>
      </c>
      <c r="K19" s="26">
        <f t="shared" si="0"/>
        <v>140.15761565982231</v>
      </c>
      <c r="L19" s="26">
        <f t="shared" si="0"/>
        <v>271.93579038883308</v>
      </c>
      <c r="M19" s="26">
        <f t="shared" si="0"/>
        <v>168.31233237034999</v>
      </c>
      <c r="N19" s="26">
        <f t="shared" si="0"/>
        <v>146.27718258875103</v>
      </c>
      <c r="O19" s="26">
        <f t="shared" si="0"/>
        <v>45.405627118154499</v>
      </c>
      <c r="P19" s="26">
        <f t="shared" si="0"/>
        <v>5.4531763221620873</v>
      </c>
      <c r="Q19" s="26">
        <f t="shared" si="0"/>
        <v>3.0894271589083502</v>
      </c>
      <c r="R19" s="26">
        <f t="shared" si="0"/>
        <v>0.34987473140146397</v>
      </c>
      <c r="S19" s="26">
        <f t="shared" si="0"/>
        <v>1.7811429796356801</v>
      </c>
      <c r="T19" s="26">
        <f t="shared" si="0"/>
        <v>1.4123503071433121</v>
      </c>
      <c r="U19" s="26">
        <f t="shared" si="0"/>
        <v>2.1012084316101767</v>
      </c>
    </row>
    <row r="20" spans="1:21" ht="15.75" thickBot="1" x14ac:dyDescent="0.3"/>
    <row r="21" spans="1:21" ht="15.75" thickBot="1" x14ac:dyDescent="0.3">
      <c r="A21" s="23" t="s">
        <v>35</v>
      </c>
    </row>
    <row r="22" spans="1:21" x14ac:dyDescent="0.25">
      <c r="A22" s="17" t="s">
        <v>18</v>
      </c>
      <c r="B22" s="17" t="s">
        <v>20</v>
      </c>
      <c r="C22" s="17" t="s">
        <v>19</v>
      </c>
      <c r="D22" s="17" t="s">
        <v>0</v>
      </c>
      <c r="E22" s="17" t="s">
        <v>1</v>
      </c>
      <c r="F22" s="17" t="s">
        <v>2</v>
      </c>
      <c r="G22" s="17" t="s">
        <v>3</v>
      </c>
      <c r="H22" s="17" t="s">
        <v>4</v>
      </c>
      <c r="I22" s="17" t="s">
        <v>5</v>
      </c>
      <c r="J22" s="17" t="s">
        <v>6</v>
      </c>
      <c r="K22" s="17" t="s">
        <v>7</v>
      </c>
      <c r="L22" s="17" t="s">
        <v>8</v>
      </c>
      <c r="M22" s="17" t="s">
        <v>9</v>
      </c>
      <c r="N22" s="17" t="s">
        <v>10</v>
      </c>
      <c r="O22" s="17" t="s">
        <v>11</v>
      </c>
      <c r="P22" s="17" t="s">
        <v>12</v>
      </c>
      <c r="Q22" s="17" t="s">
        <v>13</v>
      </c>
      <c r="R22" s="17" t="s">
        <v>14</v>
      </c>
      <c r="S22" s="17" t="s">
        <v>15</v>
      </c>
      <c r="T22" s="17" t="s">
        <v>16</v>
      </c>
      <c r="U22" s="18" t="s">
        <v>17</v>
      </c>
    </row>
    <row r="23" spans="1:21" x14ac:dyDescent="0.25">
      <c r="A23" s="1" t="s">
        <v>21</v>
      </c>
      <c r="B23" s="20">
        <f t="shared" ref="B23:U23" si="1">(B2-B$17)/B$19</f>
        <v>1</v>
      </c>
      <c r="C23" s="20">
        <f t="shared" si="1"/>
        <v>0.5319158537587505</v>
      </c>
      <c r="D23" s="20">
        <f t="shared" si="1"/>
        <v>0.76689850887868849</v>
      </c>
      <c r="E23" s="20">
        <f t="shared" si="1"/>
        <v>0</v>
      </c>
      <c r="F23" s="20">
        <f t="shared" si="1"/>
        <v>0</v>
      </c>
      <c r="G23" s="20">
        <f t="shared" si="1"/>
        <v>0.58185987321500265</v>
      </c>
      <c r="H23" s="20">
        <f t="shared" si="1"/>
        <v>0.23397573684046927</v>
      </c>
      <c r="I23" s="20">
        <f t="shared" si="1"/>
        <v>1</v>
      </c>
      <c r="J23" s="20">
        <f t="shared" si="1"/>
        <v>1</v>
      </c>
      <c r="K23" s="20">
        <f t="shared" si="1"/>
        <v>0</v>
      </c>
      <c r="L23" s="20">
        <f t="shared" si="1"/>
        <v>0.37385160349525931</v>
      </c>
      <c r="M23" s="20">
        <f t="shared" si="1"/>
        <v>0</v>
      </c>
      <c r="N23" s="20">
        <f t="shared" si="1"/>
        <v>0.35918383891264172</v>
      </c>
      <c r="O23" s="20">
        <f t="shared" si="1"/>
        <v>0.60132763494465202</v>
      </c>
      <c r="P23" s="20">
        <f t="shared" si="1"/>
        <v>0.12820057331464138</v>
      </c>
      <c r="Q23" s="20">
        <f t="shared" si="1"/>
        <v>0.1895299463089172</v>
      </c>
      <c r="R23" s="20">
        <f t="shared" si="1"/>
        <v>3.5851909458570592E-2</v>
      </c>
      <c r="S23" s="20">
        <f t="shared" si="1"/>
        <v>6.0024332406861535E-4</v>
      </c>
      <c r="T23" s="20">
        <f t="shared" si="1"/>
        <v>2.507812029450927E-2</v>
      </c>
      <c r="U23" s="20">
        <f t="shared" si="1"/>
        <v>0.56249203146664295</v>
      </c>
    </row>
    <row r="24" spans="1:21" x14ac:dyDescent="0.25">
      <c r="A24" s="14" t="s">
        <v>22</v>
      </c>
      <c r="B24" s="20">
        <f t="shared" ref="B24:U24" si="2">(B3-B$17)/B$19</f>
        <v>0</v>
      </c>
      <c r="C24" s="20">
        <f t="shared" si="2"/>
        <v>0.44637312509783689</v>
      </c>
      <c r="D24" s="20">
        <f t="shared" si="2"/>
        <v>1</v>
      </c>
      <c r="E24" s="20">
        <f t="shared" si="2"/>
        <v>1.394163984395156E-4</v>
      </c>
      <c r="F24" s="20">
        <f t="shared" si="2"/>
        <v>8.6687648579132567E-2</v>
      </c>
      <c r="G24" s="20">
        <f t="shared" si="2"/>
        <v>1</v>
      </c>
      <c r="H24" s="20">
        <f t="shared" si="2"/>
        <v>0.32898156552826396</v>
      </c>
      <c r="I24" s="20">
        <f t="shared" si="2"/>
        <v>0</v>
      </c>
      <c r="J24" s="20">
        <f t="shared" si="2"/>
        <v>0.44330352636411174</v>
      </c>
      <c r="K24" s="20">
        <f t="shared" si="2"/>
        <v>7.0683294185667961E-2</v>
      </c>
      <c r="L24" s="20">
        <f t="shared" si="2"/>
        <v>0.52008878700836425</v>
      </c>
      <c r="M24" s="20">
        <f t="shared" si="2"/>
        <v>1</v>
      </c>
      <c r="N24" s="20">
        <f t="shared" si="2"/>
        <v>0.68715919567454697</v>
      </c>
      <c r="O24" s="20">
        <f t="shared" si="2"/>
        <v>0.45154348916195136</v>
      </c>
      <c r="P24" s="20">
        <f t="shared" si="2"/>
        <v>0</v>
      </c>
      <c r="Q24" s="20">
        <f t="shared" si="2"/>
        <v>0.99837051748094974</v>
      </c>
      <c r="R24" s="20">
        <f t="shared" si="2"/>
        <v>0.99878318784013453</v>
      </c>
      <c r="S24" s="20">
        <f t="shared" si="2"/>
        <v>1.9209676044535482E-4</v>
      </c>
      <c r="T24" s="20">
        <f t="shared" si="2"/>
        <v>9.1884340436242745E-2</v>
      </c>
      <c r="U24" s="20">
        <f t="shared" si="2"/>
        <v>1</v>
      </c>
    </row>
    <row r="25" spans="1:21" x14ac:dyDescent="0.25">
      <c r="A25" s="1" t="s">
        <v>23</v>
      </c>
      <c r="B25" s="20">
        <f t="shared" ref="B25:U25" si="3">(B4-B$17)/B$19</f>
        <v>0.45755570134767282</v>
      </c>
      <c r="C25" s="20">
        <f t="shared" si="3"/>
        <v>0.71821922371682578</v>
      </c>
      <c r="D25" s="20">
        <f t="shared" si="3"/>
        <v>2.2007300507130068E-2</v>
      </c>
      <c r="E25" s="20">
        <f t="shared" si="3"/>
        <v>4.6084421998494808E-2</v>
      </c>
      <c r="F25" s="20">
        <f t="shared" si="3"/>
        <v>0.18018648475919069</v>
      </c>
      <c r="G25" s="20">
        <f t="shared" si="3"/>
        <v>0.48973188418245789</v>
      </c>
      <c r="H25" s="20">
        <f t="shared" si="3"/>
        <v>4.0732717629686159E-2</v>
      </c>
      <c r="I25" s="20">
        <f t="shared" si="3"/>
        <v>0.14015090101193156</v>
      </c>
      <c r="J25" s="20">
        <f t="shared" si="3"/>
        <v>0.73121346404968113</v>
      </c>
      <c r="K25" s="20">
        <f t="shared" si="3"/>
        <v>0.71692378208660579</v>
      </c>
      <c r="L25" s="20">
        <f t="shared" si="3"/>
        <v>0.87284270079521298</v>
      </c>
      <c r="M25" s="20">
        <f t="shared" si="3"/>
        <v>0.48891203718442572</v>
      </c>
      <c r="N25" s="20">
        <f t="shared" si="3"/>
        <v>0.38398275029845563</v>
      </c>
      <c r="O25" s="20">
        <f t="shared" si="3"/>
        <v>0.33688567465498365</v>
      </c>
      <c r="P25" s="20">
        <f t="shared" si="3"/>
        <v>0.24629971635343259</v>
      </c>
      <c r="Q25" s="20">
        <f t="shared" si="3"/>
        <v>0.44450172214932904</v>
      </c>
      <c r="R25" s="20">
        <f t="shared" si="3"/>
        <v>0</v>
      </c>
      <c r="S25" s="20">
        <f t="shared" si="3"/>
        <v>4.7036367088029241E-3</v>
      </c>
      <c r="T25" s="20">
        <f t="shared" si="3"/>
        <v>0.88761934092650396</v>
      </c>
      <c r="U25" s="20">
        <f t="shared" si="3"/>
        <v>0</v>
      </c>
    </row>
    <row r="26" spans="1:21" x14ac:dyDescent="0.25">
      <c r="A26" s="14" t="s">
        <v>24</v>
      </c>
      <c r="B26" s="20">
        <f t="shared" ref="B26:U26" si="4">(B5-B$17)/B$19</f>
        <v>0.85032868880228274</v>
      </c>
      <c r="C26" s="20">
        <f t="shared" si="4"/>
        <v>0.13488560656579915</v>
      </c>
      <c r="D26" s="20">
        <f t="shared" si="4"/>
        <v>8.0442651895790487E-2</v>
      </c>
      <c r="E26" s="20">
        <f t="shared" si="4"/>
        <v>4.983231952144538E-2</v>
      </c>
      <c r="F26" s="20">
        <f t="shared" si="4"/>
        <v>0.70001114464082248</v>
      </c>
      <c r="G26" s="20">
        <f t="shared" si="4"/>
        <v>0.6549995894115419</v>
      </c>
      <c r="H26" s="20">
        <f t="shared" si="4"/>
        <v>0.56087132696339814</v>
      </c>
      <c r="I26" s="20">
        <f t="shared" si="4"/>
        <v>0.51287071023760145</v>
      </c>
      <c r="J26" s="20">
        <f t="shared" si="4"/>
        <v>0.5216917094416641</v>
      </c>
      <c r="K26" s="20">
        <f t="shared" si="4"/>
        <v>1</v>
      </c>
      <c r="L26" s="20">
        <f t="shared" si="4"/>
        <v>0.9564454944777675</v>
      </c>
      <c r="M26" s="20">
        <f t="shared" si="4"/>
        <v>0.61126355886741868</v>
      </c>
      <c r="N26" s="20">
        <f t="shared" si="4"/>
        <v>1</v>
      </c>
      <c r="O26" s="20">
        <f t="shared" si="4"/>
        <v>1</v>
      </c>
      <c r="P26" s="20">
        <f t="shared" si="4"/>
        <v>1</v>
      </c>
      <c r="Q26" s="20">
        <f t="shared" si="4"/>
        <v>0.78214460059334356</v>
      </c>
      <c r="R26" s="20">
        <f t="shared" si="4"/>
        <v>0.29111295612306348</v>
      </c>
      <c r="S26" s="20">
        <f t="shared" si="4"/>
        <v>1</v>
      </c>
      <c r="T26" s="20">
        <f t="shared" si="4"/>
        <v>0.61149587719290754</v>
      </c>
      <c r="U26" s="20">
        <f t="shared" si="4"/>
        <v>0.5797435979064044</v>
      </c>
    </row>
    <row r="27" spans="1:21" x14ac:dyDescent="0.25">
      <c r="A27" s="1" t="s">
        <v>25</v>
      </c>
      <c r="B27" s="20">
        <f t="shared" ref="B27:U27" si="5">(B6-B$17)/B$19</f>
        <v>0.10346292799299334</v>
      </c>
      <c r="C27" s="20">
        <f t="shared" si="5"/>
        <v>0.74819784356020103</v>
      </c>
      <c r="D27" s="20">
        <f t="shared" si="5"/>
        <v>8.6921025103273306E-2</v>
      </c>
      <c r="E27" s="20">
        <f t="shared" si="5"/>
        <v>5.7328074119450963E-2</v>
      </c>
      <c r="F27" s="20">
        <f t="shared" si="5"/>
        <v>1</v>
      </c>
      <c r="G27" s="20">
        <f t="shared" si="5"/>
        <v>0.46701456394690166</v>
      </c>
      <c r="H27" s="20">
        <f t="shared" si="5"/>
        <v>0.44285503086999778</v>
      </c>
      <c r="I27" s="20">
        <f t="shared" si="5"/>
        <v>0.66204703468021198</v>
      </c>
      <c r="J27" s="20">
        <f t="shared" si="5"/>
        <v>0.79575272746013981</v>
      </c>
      <c r="K27" s="20">
        <f t="shared" si="5"/>
        <v>0.59924862879399021</v>
      </c>
      <c r="L27" s="20">
        <f t="shared" si="5"/>
        <v>0.66698734813915894</v>
      </c>
      <c r="M27" s="20">
        <f t="shared" si="5"/>
        <v>0.46768371242883944</v>
      </c>
      <c r="N27" s="20">
        <f t="shared" si="5"/>
        <v>3.5264980712116152E-2</v>
      </c>
      <c r="O27" s="20">
        <f t="shared" si="5"/>
        <v>0.80749622280638889</v>
      </c>
      <c r="P27" s="20">
        <f t="shared" si="5"/>
        <v>2.6602506275219089E-2</v>
      </c>
      <c r="Q27" s="20">
        <f t="shared" si="5"/>
        <v>0.99630525362316913</v>
      </c>
      <c r="R27" s="20">
        <f t="shared" si="5"/>
        <v>1</v>
      </c>
      <c r="S27" s="20">
        <f t="shared" si="5"/>
        <v>3.2588389387961091E-4</v>
      </c>
      <c r="T27" s="20">
        <f t="shared" si="5"/>
        <v>0.91060519400537188</v>
      </c>
      <c r="U27" s="20">
        <f t="shared" si="5"/>
        <v>0.55392895656024632</v>
      </c>
    </row>
    <row r="28" spans="1:21" x14ac:dyDescent="0.25">
      <c r="A28" s="14" t="s">
        <v>26</v>
      </c>
      <c r="B28" s="20">
        <f t="shared" ref="B28:U28" si="6">(B7-B$17)/B$19</f>
        <v>0.54892097858608468</v>
      </c>
      <c r="C28" s="20">
        <f t="shared" si="6"/>
        <v>0.34522997991495336</v>
      </c>
      <c r="D28" s="20">
        <f t="shared" si="6"/>
        <v>0.8589900648809804</v>
      </c>
      <c r="E28" s="20">
        <f t="shared" si="6"/>
        <v>1</v>
      </c>
      <c r="F28" s="20">
        <f t="shared" si="6"/>
        <v>0.99432750915149848</v>
      </c>
      <c r="G28" s="20">
        <f t="shared" si="6"/>
        <v>0.72224441252441562</v>
      </c>
      <c r="H28" s="20">
        <f t="shared" si="6"/>
        <v>0</v>
      </c>
      <c r="I28" s="20">
        <f t="shared" si="6"/>
        <v>5.6393647884770068E-2</v>
      </c>
      <c r="J28" s="20">
        <f t="shared" si="6"/>
        <v>0</v>
      </c>
      <c r="K28" s="20">
        <f t="shared" si="6"/>
        <v>0.86324307446340021</v>
      </c>
      <c r="L28" s="20">
        <f t="shared" si="6"/>
        <v>0</v>
      </c>
      <c r="M28" s="20">
        <f t="shared" si="6"/>
        <v>0.73709087524849581</v>
      </c>
      <c r="N28" s="20">
        <f t="shared" si="6"/>
        <v>0</v>
      </c>
      <c r="O28" s="20">
        <f t="shared" si="6"/>
        <v>0</v>
      </c>
      <c r="P28" s="20">
        <f t="shared" si="6"/>
        <v>2.8589683977392217E-2</v>
      </c>
      <c r="Q28" s="20">
        <f t="shared" si="6"/>
        <v>1</v>
      </c>
      <c r="R28" s="20">
        <f t="shared" si="6"/>
        <v>0.39026101865965351</v>
      </c>
      <c r="S28" s="20">
        <f t="shared" si="6"/>
        <v>0</v>
      </c>
      <c r="T28" s="20">
        <f t="shared" si="6"/>
        <v>0.13322281639933659</v>
      </c>
      <c r="U28" s="20">
        <f t="shared" si="6"/>
        <v>0.49061744509161626</v>
      </c>
    </row>
    <row r="29" spans="1:21" x14ac:dyDescent="0.25">
      <c r="A29" s="1" t="s">
        <v>27</v>
      </c>
      <c r="B29" s="20">
        <f t="shared" ref="B29:U29" si="7">(B8-B$17)/B$19</f>
        <v>0.30538824528130476</v>
      </c>
      <c r="C29" s="20">
        <f t="shared" si="7"/>
        <v>0</v>
      </c>
      <c r="D29" s="20">
        <f t="shared" si="7"/>
        <v>0</v>
      </c>
      <c r="E29" s="20">
        <f t="shared" si="7"/>
        <v>9.8566177049373878E-3</v>
      </c>
      <c r="F29" s="20">
        <f t="shared" si="7"/>
        <v>0.6310228758476033</v>
      </c>
      <c r="G29" s="20">
        <f t="shared" si="7"/>
        <v>0.30977001668136461</v>
      </c>
      <c r="H29" s="20">
        <f t="shared" si="7"/>
        <v>1</v>
      </c>
      <c r="I29" s="20">
        <f t="shared" si="7"/>
        <v>0.29923397665989621</v>
      </c>
      <c r="J29" s="20">
        <f t="shared" si="7"/>
        <v>0.81045733427892797</v>
      </c>
      <c r="K29" s="20">
        <f t="shared" si="7"/>
        <v>0.24234523803226979</v>
      </c>
      <c r="L29" s="20">
        <f t="shared" si="7"/>
        <v>0.68809342242878913</v>
      </c>
      <c r="M29" s="20">
        <f t="shared" si="7"/>
        <v>0.32081138053768105</v>
      </c>
      <c r="N29" s="20">
        <f t="shared" si="7"/>
        <v>0.30226279568701608</v>
      </c>
      <c r="O29" s="20">
        <f t="shared" si="7"/>
        <v>0.25027054334274274</v>
      </c>
      <c r="P29" s="20">
        <f t="shared" si="7"/>
        <v>0.11866411107947354</v>
      </c>
      <c r="Q29" s="20">
        <f t="shared" si="7"/>
        <v>0</v>
      </c>
      <c r="R29" s="20">
        <f t="shared" si="7"/>
        <v>6.4070127793333549E-3</v>
      </c>
      <c r="S29" s="20">
        <f t="shared" si="7"/>
        <v>2.2587032951653836E-2</v>
      </c>
      <c r="T29" s="20">
        <f t="shared" si="7"/>
        <v>1</v>
      </c>
      <c r="U29" s="20">
        <f t="shared" si="7"/>
        <v>3.1267399359640623E-4</v>
      </c>
    </row>
    <row r="30" spans="1:21" x14ac:dyDescent="0.25">
      <c r="A30" s="14" t="s">
        <v>28</v>
      </c>
      <c r="B30" s="20">
        <f t="shared" ref="B30:U30" si="8">(B9-B$17)/B$19</f>
        <v>0.73707526175211369</v>
      </c>
      <c r="C30" s="20">
        <f t="shared" si="8"/>
        <v>1</v>
      </c>
      <c r="D30" s="20">
        <f t="shared" si="8"/>
        <v>0.13818161555164027</v>
      </c>
      <c r="E30" s="20">
        <f t="shared" si="8"/>
        <v>0.123327643993907</v>
      </c>
      <c r="F30" s="20">
        <f t="shared" si="8"/>
        <v>0.1981935070938057</v>
      </c>
      <c r="G30" s="20">
        <f t="shared" si="8"/>
        <v>0.18112001587320958</v>
      </c>
      <c r="H30" s="20">
        <f t="shared" si="8"/>
        <v>0.17968031014032557</v>
      </c>
      <c r="I30" s="20">
        <f t="shared" si="8"/>
        <v>0.36218478533119985</v>
      </c>
      <c r="J30" s="20">
        <f t="shared" si="8"/>
        <v>0.87825737391004077</v>
      </c>
      <c r="K30" s="20">
        <f t="shared" si="8"/>
        <v>0.93832614931839609</v>
      </c>
      <c r="L30" s="20">
        <f t="shared" si="8"/>
        <v>0.96905459805275274</v>
      </c>
      <c r="M30" s="20">
        <f t="shared" si="8"/>
        <v>0.25284459319722946</v>
      </c>
      <c r="N30" s="20">
        <f t="shared" si="8"/>
        <v>0.28609022987603838</v>
      </c>
      <c r="O30" s="20">
        <f t="shared" si="8"/>
        <v>0.22312826686145296</v>
      </c>
      <c r="P30" s="20">
        <f t="shared" si="8"/>
        <v>0.15821824209300192</v>
      </c>
      <c r="Q30" s="20">
        <f t="shared" si="8"/>
        <v>0.46028826417447366</v>
      </c>
      <c r="R30" s="20">
        <f t="shared" si="8"/>
        <v>0.63273197114099067</v>
      </c>
      <c r="S30" s="20">
        <f t="shared" si="8"/>
        <v>5.5047296666863782E-2</v>
      </c>
      <c r="T30" s="20">
        <f t="shared" si="8"/>
        <v>0.25979385199795729</v>
      </c>
      <c r="U30" s="20">
        <f t="shared" si="8"/>
        <v>0.19618216926497342</v>
      </c>
    </row>
    <row r="31" spans="1:21" x14ac:dyDescent="0.25">
      <c r="A31" s="1" t="s">
        <v>29</v>
      </c>
      <c r="B31" s="20">
        <f t="shared" ref="B31:U31" si="9">(B10-B$17)/B$19</f>
        <v>0.49936834627956128</v>
      </c>
      <c r="C31" s="20">
        <f t="shared" si="9"/>
        <v>0.52669827183981577</v>
      </c>
      <c r="D31" s="20">
        <f t="shared" si="9"/>
        <v>0.13369205064261797</v>
      </c>
      <c r="E31" s="20">
        <f t="shared" si="9"/>
        <v>6.1594711712853037E-2</v>
      </c>
      <c r="F31" s="20">
        <f t="shared" si="9"/>
        <v>0.86189812980808334</v>
      </c>
      <c r="G31" s="20">
        <f t="shared" si="9"/>
        <v>0.32831920409850057</v>
      </c>
      <c r="H31" s="20">
        <f t="shared" si="9"/>
        <v>0.91731288704342184</v>
      </c>
      <c r="I31" s="20">
        <f t="shared" si="9"/>
        <v>0.15620051444471345</v>
      </c>
      <c r="J31" s="20">
        <f t="shared" si="9"/>
        <v>0.99965172390531987</v>
      </c>
      <c r="K31" s="20">
        <f t="shared" si="9"/>
        <v>0.87708795576355514</v>
      </c>
      <c r="L31" s="20">
        <f t="shared" si="9"/>
        <v>0.90514767366309024</v>
      </c>
      <c r="M31" s="20">
        <f t="shared" si="9"/>
        <v>0.46345534761614088</v>
      </c>
      <c r="N31" s="20">
        <f t="shared" si="9"/>
        <v>0.37216312086978548</v>
      </c>
      <c r="O31" s="20">
        <f t="shared" si="9"/>
        <v>0.46803986637087469</v>
      </c>
      <c r="P31" s="20">
        <f t="shared" si="9"/>
        <v>0.1012535140496169</v>
      </c>
      <c r="Q31" s="20">
        <f t="shared" si="9"/>
        <v>0.85413681459583868</v>
      </c>
      <c r="R31" s="20">
        <f t="shared" si="9"/>
        <v>0.37283574678150694</v>
      </c>
      <c r="S31" s="20">
        <f t="shared" si="9"/>
        <v>3.6913149653897037E-3</v>
      </c>
      <c r="T31" s="20">
        <f t="shared" si="9"/>
        <v>6.8439502375498756E-2</v>
      </c>
      <c r="U31" s="20">
        <f t="shared" si="9"/>
        <v>0.39935301806207207</v>
      </c>
    </row>
    <row r="32" spans="1:21" x14ac:dyDescent="0.25">
      <c r="A32" s="14" t="s">
        <v>30</v>
      </c>
      <c r="B32" s="20">
        <f t="shared" ref="B32:U32" si="10">(B11-B$17)/B$19</f>
        <v>0.1765914397890751</v>
      </c>
      <c r="C32" s="20">
        <f t="shared" si="10"/>
        <v>3.1427819411936495E-2</v>
      </c>
      <c r="D32" s="20">
        <f t="shared" si="10"/>
        <v>0.12321046242013119</v>
      </c>
      <c r="E32" s="20">
        <f t="shared" si="10"/>
        <v>9.5600484986369541E-2</v>
      </c>
      <c r="F32" s="20">
        <f t="shared" si="10"/>
        <v>0.2196243928449117</v>
      </c>
      <c r="G32" s="20">
        <f t="shared" si="10"/>
        <v>0</v>
      </c>
      <c r="H32" s="20">
        <f t="shared" si="10"/>
        <v>0.51982181240622927</v>
      </c>
      <c r="I32" s="20">
        <f t="shared" si="10"/>
        <v>0.34018482218002499</v>
      </c>
      <c r="J32" s="20">
        <f t="shared" si="10"/>
        <v>0.9804273724909961</v>
      </c>
      <c r="K32" s="20">
        <f t="shared" si="10"/>
        <v>0.98761774612812792</v>
      </c>
      <c r="L32" s="20">
        <f t="shared" si="10"/>
        <v>1</v>
      </c>
      <c r="M32" s="20">
        <f t="shared" si="10"/>
        <v>0.51924583837414406</v>
      </c>
      <c r="N32" s="20">
        <f t="shared" si="10"/>
        <v>0.19630970984472096</v>
      </c>
      <c r="O32" s="20">
        <f t="shared" si="10"/>
        <v>0.10629533406824947</v>
      </c>
      <c r="P32" s="20">
        <f t="shared" si="10"/>
        <v>0.18075708301099724</v>
      </c>
      <c r="Q32" s="20">
        <f t="shared" si="10"/>
        <v>0.477005053481032</v>
      </c>
      <c r="R32" s="20">
        <f t="shared" si="10"/>
        <v>0.9762266339992931</v>
      </c>
      <c r="S32" s="20">
        <f t="shared" si="10"/>
        <v>1.6125308328467695E-2</v>
      </c>
      <c r="T32" s="20">
        <f t="shared" si="10"/>
        <v>0</v>
      </c>
      <c r="U32" s="20">
        <f t="shared" si="10"/>
        <v>0.6642825052295287</v>
      </c>
    </row>
    <row r="33" spans="1:21" ht="15.75" thickBot="1" x14ac:dyDescent="0.3"/>
    <row r="34" spans="1:21" x14ac:dyDescent="0.25">
      <c r="A34" s="15" t="s">
        <v>36</v>
      </c>
      <c r="B34" s="22">
        <f>AVERAGE(Table20[best_pearson_r])</f>
        <v>0.46786915898310877</v>
      </c>
      <c r="C34" s="21">
        <f>AVERAGE(Table20[best_difference_vector_r])</f>
        <v>0.44829477238661192</v>
      </c>
      <c r="D34" s="21">
        <f>AVERAGE(Table20[seed_a_e])</f>
        <v>0.32103436798802526</v>
      </c>
      <c r="E34" s="21">
        <f>AVERAGE(Table20[seed_b_e])</f>
        <v>0.14437636904358978</v>
      </c>
      <c r="F34" s="21">
        <f>AVERAGE(Table20[seed_d_e])</f>
        <v>0.48719516927250484</v>
      </c>
      <c r="G34" s="21">
        <f>AVERAGE(Table20[seed_c_I_sst])</f>
        <v>0.47350595599333944</v>
      </c>
      <c r="H34" s="21">
        <f>AVERAGE(Table20[seed_c_I_vip])</f>
        <v>0.42242313874217918</v>
      </c>
      <c r="I34" s="21">
        <f>AVERAGE(Table20[seed_c_I_pv])</f>
        <v>0.35292663924303491</v>
      </c>
      <c r="J34" s="21">
        <f>AVERAGE(Table20[seed_r_0_sst])</f>
        <v>0.71607552319008816</v>
      </c>
      <c r="K34" s="21">
        <f>AVERAGE(Table20[seed_r_0_vip])</f>
        <v>0.62954758687720125</v>
      </c>
      <c r="L34" s="21">
        <f>AVERAGE(Table20[seed_r_0_pv])</f>
        <v>0.6952511628060396</v>
      </c>
      <c r="M34" s="21">
        <f>AVERAGE(Table20[I_background_e])</f>
        <v>0.48613073434543752</v>
      </c>
      <c r="N34" s="21">
        <f>AVERAGE(Table20[I_background_i])</f>
        <v>0.36224166218753212</v>
      </c>
      <c r="O34" s="21">
        <f>AVERAGE(Table20[I_background_dend])</f>
        <v>0.42449870322112959</v>
      </c>
      <c r="P34" s="21">
        <f>AVERAGE(Table20[mu_ee])</f>
        <v>0.19885854301537748</v>
      </c>
      <c r="Q34" s="21">
        <f>AVERAGE(Table20[mu_ie])</f>
        <v>0.6202282172407052</v>
      </c>
      <c r="R34" s="21">
        <f>AVERAGE(Table20[e_grad_min])</f>
        <v>0.4704210436782546</v>
      </c>
      <c r="S34" s="21">
        <f>AVERAGE(Table20[balloon_kappa])</f>
        <v>0.11032728135995713</v>
      </c>
      <c r="T34" s="21">
        <f>AVERAGE(Table20[balloon_gamma])</f>
        <v>0.39881390436283282</v>
      </c>
      <c r="U34" s="21">
        <f>AVERAGE(Table20[balloon_tau])</f>
        <v>0.44469123975750807</v>
      </c>
    </row>
    <row r="35" spans="1:21" x14ac:dyDescent="0.25">
      <c r="A35" s="12" t="s">
        <v>37</v>
      </c>
      <c r="B35" s="22">
        <f>_xlfn.STDEV.P(Table20[best_pearson_r])</f>
        <v>0.31185166689899968</v>
      </c>
      <c r="C35" s="21">
        <f>_xlfn.STDEV.P(Table20[best_difference_vector_r])</f>
        <v>0.31047011490723919</v>
      </c>
      <c r="D35" s="21">
        <f>_xlfn.STDEV.P(Table20[seed_a_e])</f>
        <v>0.36905633006978666</v>
      </c>
      <c r="E35" s="21">
        <f>_xlfn.STDEV.P(Table20[seed_b_e])</f>
        <v>0.28769574624647815</v>
      </c>
      <c r="F35" s="21">
        <f>_xlfn.STDEV.P(Table20[seed_d_e])</f>
        <v>0.37063016368807256</v>
      </c>
      <c r="G35" s="21">
        <f>_xlfn.STDEV.P(Table20[seed_c_I_sst])</f>
        <v>0.27233046221201829</v>
      </c>
      <c r="H35" s="21">
        <f>_xlfn.STDEV.P(Table20[seed_c_I_vip])</f>
        <v>0.3216954267226893</v>
      </c>
      <c r="I35" s="21">
        <f>_xlfn.STDEV.P(Table20[seed_c_I_pv])</f>
        <v>0.28973024328129932</v>
      </c>
      <c r="J35" s="21">
        <f>_xlfn.STDEV.P(Table20[seed_r_0_sst])</f>
        <v>0.29960853587399139</v>
      </c>
      <c r="K35" s="21">
        <f>_xlfn.STDEV.P(Table20[seed_r_0_vip])</f>
        <v>0.36658164059238313</v>
      </c>
      <c r="L35" s="21">
        <f>_xlfn.STDEV.P(Table20[seed_r_0_pv])</f>
        <v>0.30493634482084403</v>
      </c>
      <c r="M35" s="21">
        <f>_xlfn.STDEV.P(Table20[I_background_e])</f>
        <v>0.25743652675776024</v>
      </c>
      <c r="N35" s="21">
        <f>_xlfn.STDEV.P(Table20[I_background_i])</f>
        <v>0.28070451572526506</v>
      </c>
      <c r="O35" s="21">
        <f>_xlfn.STDEV.P(Table20[I_background_dend])</f>
        <v>0.2952657527241544</v>
      </c>
      <c r="P35" s="21">
        <f>_xlfn.STDEV.P(Table20[mu_ee])</f>
        <v>0.27662544711168008</v>
      </c>
      <c r="Q35" s="21">
        <f>_xlfn.STDEV.P(Table20[mu_ie])</f>
        <v>0.34010877627113539</v>
      </c>
      <c r="R35" s="21">
        <f>_xlfn.STDEV.P(Table20[e_grad_min])</f>
        <v>0.38927622331744771</v>
      </c>
      <c r="S35" s="21">
        <f>_xlfn.STDEV.P(Table20[balloon_kappa])</f>
        <v>0.29700430430749208</v>
      </c>
      <c r="T35" s="21">
        <f>_xlfn.STDEV.P(Table20[balloon_gamma])</f>
        <v>0.3872297241166594</v>
      </c>
      <c r="U35" s="21">
        <f>_xlfn.STDEV.P(Table20[balloon_tau])</f>
        <v>0.29356112226284808</v>
      </c>
    </row>
    <row r="36" spans="1:21" ht="15.75" thickBot="1" x14ac:dyDescent="0.3">
      <c r="A36" s="16" t="s">
        <v>38</v>
      </c>
      <c r="B36" s="22">
        <f>VAR(Table20[best_pearson_r])</f>
        <v>0.10805718016409409</v>
      </c>
      <c r="C36" s="21">
        <f>VAR(Table20[best_difference_vector_r])</f>
        <v>0.10710188027834928</v>
      </c>
      <c r="D36" s="21">
        <f>VAR(Table20[seed_a_e])</f>
        <v>0.15133619418286587</v>
      </c>
      <c r="E36" s="21">
        <f>VAR(Table20[seed_b_e])</f>
        <v>9.1965380453686629E-2</v>
      </c>
      <c r="F36" s="21">
        <f>VAR(Table20[seed_d_e])</f>
        <v>0.15262968692827494</v>
      </c>
      <c r="G36" s="21">
        <f>VAR(Table20[seed_c_I_sst])</f>
        <v>8.2404311831790589E-2</v>
      </c>
      <c r="H36" s="21">
        <f>VAR(Table20[seed_c_I_vip])</f>
        <v>0.11498660841588132</v>
      </c>
      <c r="I36" s="21">
        <f>VAR(Table20[seed_c_I_pv])</f>
        <v>9.3270682079823197E-2</v>
      </c>
      <c r="J36" s="21">
        <f>VAR(Table20[seed_r_0_sst])</f>
        <v>9.9739194187285288E-2</v>
      </c>
      <c r="K36" s="21">
        <f>VAR(Table20[seed_r_0_vip])</f>
        <v>0.14931344357711465</v>
      </c>
      <c r="L36" s="21">
        <f>VAR(Table20[seed_r_0_pv])</f>
        <v>0.10331797154744077</v>
      </c>
      <c r="M36" s="21">
        <f>VAR(Table20[I_background_e])</f>
        <v>7.3637294787887803E-2</v>
      </c>
      <c r="N36" s="21">
        <f>VAR(Table20[I_background_i])</f>
        <v>8.7550027942839545E-2</v>
      </c>
      <c r="O36" s="21">
        <f>VAR(Table20[I_background_dend])</f>
        <v>9.6868738590846118E-2</v>
      </c>
      <c r="P36" s="21">
        <f>VAR(Table20[mu_ee])</f>
        <v>8.5024042210818773E-2</v>
      </c>
      <c r="Q36" s="21">
        <f>VAR(Table20[mu_ie])</f>
        <v>0.12852664410738798</v>
      </c>
      <c r="R36" s="21">
        <f>VAR(Table20[e_grad_min])</f>
        <v>0.16837330893366159</v>
      </c>
      <c r="S36" s="21">
        <f>VAR(Table20[balloon_kappa])</f>
        <v>9.8012840863530404E-2</v>
      </c>
      <c r="T36" s="21">
        <f>VAR(Table20[balloon_gamma])</f>
        <v>0.16660762137718238</v>
      </c>
      <c r="U36" s="21">
        <f>VAR(Table20[balloon_tau])</f>
        <v>9.57534805602476E-2</v>
      </c>
    </row>
    <row r="43" spans="1:21" ht="15.75" thickBot="1" x14ac:dyDescent="0.3"/>
    <row r="44" spans="1:21" ht="15.75" thickBot="1" x14ac:dyDescent="0.3">
      <c r="A44" s="36" t="s">
        <v>40</v>
      </c>
    </row>
    <row r="45" spans="1:21" ht="15.75" thickBot="1" x14ac:dyDescent="0.3">
      <c r="A45" s="39" t="s">
        <v>50</v>
      </c>
      <c r="B45" s="37" t="s">
        <v>41</v>
      </c>
      <c r="C45" s="29" t="s">
        <v>42</v>
      </c>
      <c r="D45" s="29" t="s">
        <v>43</v>
      </c>
      <c r="E45" s="29" t="s">
        <v>44</v>
      </c>
      <c r="F45" s="29" t="s">
        <v>45</v>
      </c>
      <c r="G45" s="29" t="s">
        <v>46</v>
      </c>
      <c r="H45" s="29" t="s">
        <v>47</v>
      </c>
      <c r="I45" s="29" t="s">
        <v>48</v>
      </c>
      <c r="J45" s="30" t="s">
        <v>49</v>
      </c>
    </row>
    <row r="46" spans="1:21" ht="15.75" thickBot="1" x14ac:dyDescent="0.3">
      <c r="A46" s="40" t="s">
        <v>51</v>
      </c>
      <c r="B46" s="38">
        <v>0.13500000000000001</v>
      </c>
      <c r="C46" s="31">
        <v>54</v>
      </c>
      <c r="D46" s="31">
        <v>0.308</v>
      </c>
      <c r="E46" s="31">
        <v>132</v>
      </c>
      <c r="F46" s="31">
        <v>132</v>
      </c>
      <c r="G46" s="31">
        <v>330</v>
      </c>
      <c r="H46" s="31">
        <v>-33</v>
      </c>
      <c r="I46" s="31">
        <v>-33</v>
      </c>
      <c r="J46" s="31">
        <v>-95</v>
      </c>
    </row>
    <row r="48" spans="1:21" ht="15.75" thickBot="1" x14ac:dyDescent="0.3"/>
    <row r="49" spans="1:25" ht="15.75" thickBot="1" x14ac:dyDescent="0.3">
      <c r="A49" s="23" t="s">
        <v>57</v>
      </c>
      <c r="N49" s="23" t="s">
        <v>56</v>
      </c>
    </row>
    <row r="50" spans="1:25" x14ac:dyDescent="0.25">
      <c r="A50" s="17" t="s">
        <v>31</v>
      </c>
      <c r="B50" s="17" t="s">
        <v>0</v>
      </c>
      <c r="C50" s="17" t="s">
        <v>1</v>
      </c>
      <c r="D50" s="17" t="s">
        <v>2</v>
      </c>
      <c r="E50" s="17" t="s">
        <v>3</v>
      </c>
      <c r="F50" s="17" t="s">
        <v>4</v>
      </c>
      <c r="G50" s="17" t="s">
        <v>5</v>
      </c>
      <c r="H50" s="17" t="s">
        <v>6</v>
      </c>
      <c r="I50" s="17" t="s">
        <v>7</v>
      </c>
      <c r="J50" s="17" t="s">
        <v>8</v>
      </c>
      <c r="K50" s="17" t="s">
        <v>20</v>
      </c>
      <c r="L50" s="17" t="s">
        <v>19</v>
      </c>
      <c r="N50" t="s">
        <v>18</v>
      </c>
      <c r="O50" t="s">
        <v>0</v>
      </c>
      <c r="P50" t="s">
        <v>1</v>
      </c>
      <c r="Q50" t="s">
        <v>2</v>
      </c>
      <c r="R50" t="s">
        <v>3</v>
      </c>
      <c r="S50" t="s">
        <v>4</v>
      </c>
      <c r="T50" t="s">
        <v>5</v>
      </c>
      <c r="U50" t="s">
        <v>6</v>
      </c>
      <c r="V50" t="s">
        <v>7</v>
      </c>
      <c r="W50" t="s">
        <v>8</v>
      </c>
      <c r="X50" t="s">
        <v>20</v>
      </c>
      <c r="Y50" t="s">
        <v>19</v>
      </c>
    </row>
    <row r="51" spans="1:25" x14ac:dyDescent="0.25">
      <c r="A51" s="1" t="s">
        <v>21</v>
      </c>
      <c r="B51" s="19">
        <f t="shared" ref="B51" si="11">D2/B$46</f>
        <v>5.136353588698177</v>
      </c>
      <c r="C51" s="19">
        <f t="shared" ref="C51" si="12">E2/C$46</f>
        <v>2.1372624292230372E-2</v>
      </c>
      <c r="D51" s="19">
        <f t="shared" ref="D51" si="13">F2/D$46</f>
        <v>3.2476586450870135E-2</v>
      </c>
      <c r="E51" s="19">
        <f t="shared" ref="E51" si="14">G2/E$46</f>
        <v>2.4050276860203788</v>
      </c>
      <c r="F51" s="19">
        <f t="shared" ref="F51" si="15">H2/F$46</f>
        <v>1.1356740435145909</v>
      </c>
      <c r="G51" s="19">
        <f t="shared" ref="G51" si="16">I2/G$46</f>
        <v>2.4242406348355998</v>
      </c>
      <c r="H51" s="19">
        <f t="shared" ref="H51" si="17">J2/H$46</f>
        <v>5.1169784628617572E-6</v>
      </c>
      <c r="I51" s="19">
        <f t="shared" ref="I51" si="18">K2/I$46</f>
        <v>4.9549341788743941</v>
      </c>
      <c r="J51" s="19">
        <f t="shared" ref="J51" si="19">L2/J$46</f>
        <v>2.7454191258149159</v>
      </c>
      <c r="K51" s="19">
        <v>0.712406808509643</v>
      </c>
      <c r="L51" s="19">
        <v>0.52304667728695398</v>
      </c>
      <c r="N51" t="s">
        <v>21</v>
      </c>
      <c r="O51" s="19">
        <f>Table23[[#This Row],[seed_a_e]]</f>
        <v>5.136353588698177</v>
      </c>
      <c r="P51" s="19">
        <f>Table23[[#This Row],[seed_b_e]]</f>
        <v>2.1372624292230372E-2</v>
      </c>
      <c r="Q51" s="19">
        <f>Table23[[#This Row],[seed_d_e]]</f>
        <v>3.2476586450870135E-2</v>
      </c>
      <c r="R51" s="19">
        <f>Table23[[#This Row],[seed_c_I_sst]]</f>
        <v>2.4050276860203788</v>
      </c>
      <c r="S51" s="19">
        <f>Table23[[#This Row],[seed_c_I_vip]]</f>
        <v>1.1356740435145909</v>
      </c>
      <c r="T51" s="19">
        <f>Table23[[#This Row],[seed_c_I_pv]]</f>
        <v>2.4242406348355998</v>
      </c>
      <c r="U51" s="19">
        <f>Table23[[#This Row],[seed_r_0_sst]]</f>
        <v>5.1169784628617572E-6</v>
      </c>
      <c r="V51" s="19">
        <f>Table23[[#This Row],[seed_r_0_vip]]</f>
        <v>4.9549341788743941</v>
      </c>
      <c r="W51" s="19">
        <f>Table23[[#This Row],[seed_r_0_pv]]</f>
        <v>2.7454191258149159</v>
      </c>
      <c r="X51" s="19">
        <v>0.712406808509643</v>
      </c>
      <c r="Y51" s="19">
        <v>0.52304667728695398</v>
      </c>
    </row>
    <row r="52" spans="1:25" x14ac:dyDescent="0.25">
      <c r="A52" s="14" t="s">
        <v>22</v>
      </c>
      <c r="B52" s="19">
        <f t="shared" ref="B52:B60" si="20">D3/B$46</f>
        <v>6.6666654501849774</v>
      </c>
      <c r="C52" s="19">
        <f t="shared" ref="C52:C60" si="21">E3/C$46</f>
        <v>2.2649829213040925E-2</v>
      </c>
      <c r="D52" s="19">
        <f t="shared" ref="D52:D60" si="22">F3/D$46</f>
        <v>0.87213008378552925</v>
      </c>
      <c r="E52" s="19">
        <f t="shared" ref="E52:E60" si="23">G3/E$46</f>
        <v>3.7875008144670077</v>
      </c>
      <c r="F52" s="19">
        <f t="shared" ref="F52:F60" si="24">H3/F$46</f>
        <v>1.4466930831289393</v>
      </c>
      <c r="G52" s="19">
        <f t="shared" ref="G52:G60" si="25">I3/G$46</f>
        <v>0.10488924084422303</v>
      </c>
      <c r="H52" s="19">
        <f t="shared" ref="H52:H60" si="26">J3/H$46</f>
        <v>4.7895685029752118</v>
      </c>
      <c r="I52" s="19">
        <f t="shared" ref="I52:I60" si="27">K3/I$46</f>
        <v>4.6547280582669694</v>
      </c>
      <c r="J52" s="19">
        <f t="shared" ref="J52:J60" si="28">L3/J$46</f>
        <v>2.3268178196794103</v>
      </c>
      <c r="K52" s="19">
        <v>0.48840316014479601</v>
      </c>
      <c r="L52" s="19">
        <v>0.495336580378823</v>
      </c>
      <c r="N52" t="s">
        <v>22</v>
      </c>
      <c r="O52" s="19">
        <f>Table23[[#This Row],[seed_a_e]]</f>
        <v>6.6666654501849774</v>
      </c>
      <c r="P52" s="19">
        <f>Table23[[#This Row],[seed_b_e]]</f>
        <v>2.2649829213040925E-2</v>
      </c>
      <c r="Q52" s="19">
        <f>Table23[[#This Row],[seed_d_e]]</f>
        <v>0.87213008378552925</v>
      </c>
      <c r="R52" s="19">
        <f>Table23[[#This Row],[seed_c_I_sst]]</f>
        <v>3.7875008144670077</v>
      </c>
      <c r="S52" s="19">
        <f>Table23[[#This Row],[seed_c_I_vip]]</f>
        <v>1.4466930831289393</v>
      </c>
      <c r="T52" s="19">
        <f>Table23[[#This Row],[seed_c_I_pv]]</f>
        <v>0.10488924084422303</v>
      </c>
      <c r="U52" s="19">
        <f>Table23[[#This Row],[seed_r_0_sst]]</f>
        <v>4.7895685029752118</v>
      </c>
      <c r="V52" s="19">
        <f>Table23[[#This Row],[seed_r_0_vip]]</f>
        <v>4.6547280582669694</v>
      </c>
      <c r="W52" s="19">
        <f>Table23[[#This Row],[seed_r_0_pv]]</f>
        <v>2.3268178196794103</v>
      </c>
      <c r="X52" s="19">
        <v>0.48840316014479601</v>
      </c>
      <c r="Y52" s="19">
        <v>0.495336580378823</v>
      </c>
    </row>
    <row r="53" spans="1:25" x14ac:dyDescent="0.25">
      <c r="A53" s="1" t="s">
        <v>23</v>
      </c>
      <c r="B53" s="19">
        <f t="shared" si="20"/>
        <v>0.24614097699509477</v>
      </c>
      <c r="C53" s="19">
        <f t="shared" si="21"/>
        <v>0.44355574771241485</v>
      </c>
      <c r="D53" s="19">
        <f t="shared" si="22"/>
        <v>1.7777565032591365</v>
      </c>
      <c r="E53" s="19">
        <f t="shared" si="23"/>
        <v>2.100430109617939</v>
      </c>
      <c r="F53" s="19">
        <f t="shared" si="24"/>
        <v>0.50305750748477429</v>
      </c>
      <c r="G53" s="19">
        <f t="shared" si="25"/>
        <v>0.429948428475394</v>
      </c>
      <c r="H53" s="19">
        <f t="shared" si="26"/>
        <v>2.3125222824429605</v>
      </c>
      <c r="I53" s="19">
        <f t="shared" si="27"/>
        <v>1.9100151513871</v>
      </c>
      <c r="J53" s="19">
        <f t="shared" si="28"/>
        <v>1.3170660895911894</v>
      </c>
      <c r="K53" s="19">
        <v>0.59089730657681105</v>
      </c>
      <c r="L53" s="19">
        <v>0.58339645238371796</v>
      </c>
      <c r="N53" t="s">
        <v>23</v>
      </c>
      <c r="O53" s="19">
        <f>Table23[[#This Row],[seed_a_e]]</f>
        <v>0.24614097699509477</v>
      </c>
      <c r="P53" s="19">
        <f>Table23[[#This Row],[seed_b_e]]</f>
        <v>0.44355574771241485</v>
      </c>
      <c r="Q53" s="19">
        <f>Table23[[#This Row],[seed_d_e]]</f>
        <v>1.7777565032591365</v>
      </c>
      <c r="R53" s="19">
        <f>Table23[[#This Row],[seed_c_I_sst]]</f>
        <v>2.100430109617939</v>
      </c>
      <c r="S53" s="19">
        <f>Table23[[#This Row],[seed_c_I_vip]]</f>
        <v>0.50305750748477429</v>
      </c>
      <c r="T53" s="19">
        <f>Table23[[#This Row],[seed_c_I_pv]]</f>
        <v>0.429948428475394</v>
      </c>
      <c r="U53" s="19">
        <f>Table23[[#This Row],[seed_r_0_sst]]</f>
        <v>2.3125222824429605</v>
      </c>
      <c r="V53" s="19">
        <f>Table23[[#This Row],[seed_r_0_vip]]</f>
        <v>1.9100151513871</v>
      </c>
      <c r="W53" s="19">
        <f>Table23[[#This Row],[seed_r_0_pv]]</f>
        <v>1.3170660895911894</v>
      </c>
      <c r="X53" s="19">
        <v>0.59089730657681105</v>
      </c>
      <c r="Y53" s="19">
        <v>0.58339645238371796</v>
      </c>
    </row>
    <row r="54" spans="1:25" x14ac:dyDescent="0.25">
      <c r="A54" s="14" t="s">
        <v>24</v>
      </c>
      <c r="B54" s="19">
        <f t="shared" si="20"/>
        <v>0.62976920232325329</v>
      </c>
      <c r="C54" s="19">
        <f t="shared" si="21"/>
        <v>0.4778905405530352</v>
      </c>
      <c r="D54" s="19">
        <f t="shared" si="22"/>
        <v>6.8127597687125654</v>
      </c>
      <c r="E54" s="19">
        <f t="shared" si="23"/>
        <v>2.646845406413235</v>
      </c>
      <c r="F54" s="19">
        <f t="shared" si="24"/>
        <v>2.2058268320167196</v>
      </c>
      <c r="G54" s="19">
        <f t="shared" si="25"/>
        <v>1.2944166375711514</v>
      </c>
      <c r="H54" s="19">
        <f t="shared" si="26"/>
        <v>4.1151522108960599</v>
      </c>
      <c r="I54" s="19">
        <f t="shared" si="27"/>
        <v>0.70773370433432425</v>
      </c>
      <c r="J54" s="19">
        <f t="shared" si="28"/>
        <v>1.0777545971829789</v>
      </c>
      <c r="K54" s="19">
        <v>0.67887988874580396</v>
      </c>
      <c r="L54" s="19">
        <v>0.39443555162616101</v>
      </c>
      <c r="N54" t="s">
        <v>24</v>
      </c>
      <c r="O54" s="19">
        <f>Table23[[#This Row],[seed_a_e]]</f>
        <v>0.62976920232325329</v>
      </c>
      <c r="P54" s="19">
        <f>Table23[[#This Row],[seed_b_e]]</f>
        <v>0.4778905405530352</v>
      </c>
      <c r="Q54" s="19">
        <f>Table23[[#This Row],[seed_d_e]]</f>
        <v>6.8127597687125654</v>
      </c>
      <c r="R54" s="19">
        <f>Table23[[#This Row],[seed_c_I_sst]]</f>
        <v>2.646845406413235</v>
      </c>
      <c r="S54" s="19">
        <f>Table23[[#This Row],[seed_c_I_vip]]</f>
        <v>2.2058268320167196</v>
      </c>
      <c r="T54" s="19">
        <f>Table23[[#This Row],[seed_c_I_pv]]</f>
        <v>1.2944166375711514</v>
      </c>
      <c r="U54" s="19">
        <f>Table23[[#This Row],[seed_r_0_sst]]</f>
        <v>4.1151522108960599</v>
      </c>
      <c r="V54" s="19">
        <f>Table23[[#This Row],[seed_r_0_vip]]</f>
        <v>0.70773370433432425</v>
      </c>
      <c r="W54" s="19">
        <f>Table23[[#This Row],[seed_r_0_pv]]</f>
        <v>1.0777545971829789</v>
      </c>
      <c r="X54" s="19">
        <v>0.67887988874580396</v>
      </c>
      <c r="Y54" s="19">
        <v>0.39443555162616101</v>
      </c>
    </row>
    <row r="55" spans="1:25" x14ac:dyDescent="0.25">
      <c r="A55" s="1" t="s">
        <v>25</v>
      </c>
      <c r="B55" s="19">
        <f t="shared" si="20"/>
        <v>0.67229973833509626</v>
      </c>
      <c r="C55" s="19">
        <f t="shared" si="21"/>
        <v>0.54655975568782778</v>
      </c>
      <c r="D55" s="19">
        <f t="shared" si="22"/>
        <v>9.7184412088293843</v>
      </c>
      <c r="E55" s="19">
        <f t="shared" si="23"/>
        <v>2.0253211144170984</v>
      </c>
      <c r="F55" s="19">
        <f t="shared" si="24"/>
        <v>1.8194787986720302</v>
      </c>
      <c r="G55" s="19">
        <f t="shared" si="25"/>
        <v>1.6404089536176303</v>
      </c>
      <c r="H55" s="19">
        <f t="shared" si="26"/>
        <v>1.7572557994867364</v>
      </c>
      <c r="I55" s="19">
        <f t="shared" si="27"/>
        <v>2.4098051182930726</v>
      </c>
      <c r="J55" s="19">
        <f t="shared" si="28"/>
        <v>1.9063233320153581</v>
      </c>
      <c r="K55" s="19">
        <v>0.51157923348573597</v>
      </c>
      <c r="L55" s="19">
        <v>0.59310751110297899</v>
      </c>
      <c r="N55" t="s">
        <v>25</v>
      </c>
      <c r="O55" s="19">
        <f>Table23[[#This Row],[seed_a_e]]</f>
        <v>0.67229973833509626</v>
      </c>
      <c r="P55" s="19">
        <f>Table23[[#This Row],[seed_b_e]]</f>
        <v>0.54655975568782778</v>
      </c>
      <c r="Q55" s="19">
        <f>Table23[[#This Row],[seed_d_e]]</f>
        <v>9.7184412088293843</v>
      </c>
      <c r="R55" s="19">
        <f>Table23[[#This Row],[seed_c_I_sst]]</f>
        <v>2.0253211144170984</v>
      </c>
      <c r="S55" s="19">
        <f>Table23[[#This Row],[seed_c_I_vip]]</f>
        <v>1.8194787986720302</v>
      </c>
      <c r="T55" s="19">
        <f>Table23[[#This Row],[seed_c_I_pv]]</f>
        <v>1.6404089536176303</v>
      </c>
      <c r="U55" s="19">
        <f>Table23[[#This Row],[seed_r_0_sst]]</f>
        <v>1.7572557994867364</v>
      </c>
      <c r="V55" s="19">
        <f>Table23[[#This Row],[seed_r_0_vip]]</f>
        <v>2.4098051182930726</v>
      </c>
      <c r="W55" s="19">
        <f>Table23[[#This Row],[seed_r_0_pv]]</f>
        <v>1.9063233320153581</v>
      </c>
      <c r="X55" s="19">
        <v>0.51157923348573597</v>
      </c>
      <c r="Y55" s="19">
        <v>0.59310751110297899</v>
      </c>
    </row>
    <row r="56" spans="1:25" x14ac:dyDescent="0.25">
      <c r="A56" s="14" t="s">
        <v>26</v>
      </c>
      <c r="B56" s="19">
        <f t="shared" si="20"/>
        <v>5.7409348799424293</v>
      </c>
      <c r="C56" s="19">
        <f t="shared" si="21"/>
        <v>9.1824536384790552</v>
      </c>
      <c r="D56" s="19">
        <f t="shared" si="22"/>
        <v>9.6634976631500322</v>
      </c>
      <c r="E56" s="19">
        <f t="shared" si="23"/>
        <v>2.8691731741294775</v>
      </c>
      <c r="F56" s="19">
        <f t="shared" si="24"/>
        <v>0.36971147079371214</v>
      </c>
      <c r="G56" s="19">
        <f t="shared" si="25"/>
        <v>0.23568592667802335</v>
      </c>
      <c r="H56" s="19">
        <f t="shared" si="26"/>
        <v>8.603550518865454</v>
      </c>
      <c r="I56" s="19">
        <f t="shared" si="27"/>
        <v>1.288567783370012</v>
      </c>
      <c r="J56" s="19">
        <f t="shared" si="28"/>
        <v>3.8155626130213998</v>
      </c>
      <c r="K56" s="19">
        <v>0.61136346201208103</v>
      </c>
      <c r="L56" s="19">
        <v>0.46257299662969398</v>
      </c>
      <c r="N56" t="s">
        <v>26</v>
      </c>
      <c r="O56" s="19">
        <f>Table23[[#This Row],[seed_a_e]]</f>
        <v>5.7409348799424293</v>
      </c>
      <c r="P56" s="19">
        <f>Table23[[#This Row],[seed_b_e]]</f>
        <v>9.1824536384790552</v>
      </c>
      <c r="Q56" s="19">
        <f>Table23[[#This Row],[seed_d_e]]</f>
        <v>9.6634976631500322</v>
      </c>
      <c r="R56" s="19">
        <f>Table23[[#This Row],[seed_c_I_sst]]</f>
        <v>2.8691731741294775</v>
      </c>
      <c r="S56" s="19">
        <f>Table23[[#This Row],[seed_c_I_vip]]</f>
        <v>0.36971147079371214</v>
      </c>
      <c r="T56" s="19">
        <f>Table23[[#This Row],[seed_c_I_pv]]</f>
        <v>0.23568592667802335</v>
      </c>
      <c r="U56" s="19">
        <f>Table23[[#This Row],[seed_r_0_sst]]</f>
        <v>8.603550518865454</v>
      </c>
      <c r="V56" s="19">
        <f>Table23[[#This Row],[seed_r_0_vip]]</f>
        <v>1.288567783370012</v>
      </c>
      <c r="W56" s="19">
        <f>Table23[[#This Row],[seed_r_0_pv]]</f>
        <v>3.8155626130213998</v>
      </c>
      <c r="X56" s="19">
        <v>0.61136346201208103</v>
      </c>
      <c r="Y56" s="19">
        <v>0.46257299662969398</v>
      </c>
    </row>
    <row r="57" spans="1:25" x14ac:dyDescent="0.25">
      <c r="A57" s="1" t="s">
        <v>27</v>
      </c>
      <c r="B57" s="19">
        <f t="shared" si="20"/>
        <v>0.10166299513680295</v>
      </c>
      <c r="C57" s="19">
        <f t="shared" si="21"/>
        <v>0.11166989761302999</v>
      </c>
      <c r="D57" s="19">
        <f t="shared" si="22"/>
        <v>6.144541837822306</v>
      </c>
      <c r="E57" s="19">
        <f t="shared" si="23"/>
        <v>1.5054323324893637</v>
      </c>
      <c r="F57" s="19">
        <f t="shared" si="24"/>
        <v>3.6433952427274319</v>
      </c>
      <c r="G57" s="19">
        <f t="shared" si="25"/>
        <v>0.79891798173993644</v>
      </c>
      <c r="H57" s="19">
        <f t="shared" si="26"/>
        <v>1.6307440471043939</v>
      </c>
      <c r="I57" s="19">
        <f t="shared" si="27"/>
        <v>3.9256453689012116</v>
      </c>
      <c r="J57" s="19">
        <f t="shared" si="28"/>
        <v>1.8459075741842421</v>
      </c>
      <c r="K57" s="19">
        <v>0.55681124125554704</v>
      </c>
      <c r="L57" s="19">
        <v>0.35074167737220402</v>
      </c>
      <c r="N57" t="s">
        <v>27</v>
      </c>
      <c r="O57" s="19">
        <f>Table23[[#This Row],[seed_a_e]]</f>
        <v>0.10166299513680295</v>
      </c>
      <c r="P57" s="19">
        <f>Table23[[#This Row],[seed_b_e]]</f>
        <v>0.11166989761302999</v>
      </c>
      <c r="Q57" s="19">
        <f>Table23[[#This Row],[seed_d_e]]</f>
        <v>6.144541837822306</v>
      </c>
      <c r="R57" s="19">
        <f>Table23[[#This Row],[seed_c_I_sst]]</f>
        <v>1.5054323324893637</v>
      </c>
      <c r="S57" s="19">
        <f>Table23[[#This Row],[seed_c_I_vip]]</f>
        <v>3.6433952427274319</v>
      </c>
      <c r="T57" s="19">
        <f>Table23[[#This Row],[seed_c_I_pv]]</f>
        <v>0.79891798173993644</v>
      </c>
      <c r="U57" s="19">
        <f>Table23[[#This Row],[seed_r_0_sst]]</f>
        <v>1.6307440471043939</v>
      </c>
      <c r="V57" s="19">
        <f>Table23[[#This Row],[seed_r_0_vip]]</f>
        <v>3.9256453689012116</v>
      </c>
      <c r="W57" s="19">
        <f>Table23[[#This Row],[seed_r_0_pv]]</f>
        <v>1.8459075741842421</v>
      </c>
      <c r="X57" s="19">
        <v>0.55681124125554704</v>
      </c>
      <c r="Y57" s="19">
        <v>0.35074167737220402</v>
      </c>
    </row>
    <row r="58" spans="1:25" x14ac:dyDescent="0.25">
      <c r="A58" s="14" t="s">
        <v>28</v>
      </c>
      <c r="B58" s="19">
        <f t="shared" si="20"/>
        <v>1.0088256404758444</v>
      </c>
      <c r="C58" s="19">
        <f t="shared" si="21"/>
        <v>1.1511871622092036</v>
      </c>
      <c r="D58" s="19">
        <f t="shared" si="22"/>
        <v>1.9521718845465972</v>
      </c>
      <c r="E58" s="19">
        <f t="shared" si="23"/>
        <v>1.0800840874897575</v>
      </c>
      <c r="F58" s="19">
        <f t="shared" si="24"/>
        <v>0.95792798623611364</v>
      </c>
      <c r="G58" s="19">
        <f t="shared" si="25"/>
        <v>0.94492302758460911</v>
      </c>
      <c r="H58" s="19">
        <f t="shared" si="26"/>
        <v>1.0474233278883787</v>
      </c>
      <c r="I58" s="19">
        <f t="shared" si="27"/>
        <v>0.96967491221594537</v>
      </c>
      <c r="J58" s="19">
        <f t="shared" si="28"/>
        <v>1.0416612651118389</v>
      </c>
      <c r="K58" s="19">
        <v>0.65351070789674404</v>
      </c>
      <c r="L58" s="19">
        <v>0.67467449249167699</v>
      </c>
      <c r="N58" t="s">
        <v>28</v>
      </c>
      <c r="O58" s="19">
        <f>Table23[[#This Row],[seed_a_e]]</f>
        <v>1.0088256404758444</v>
      </c>
      <c r="P58" s="19">
        <f>Table23[[#This Row],[seed_b_e]]</f>
        <v>1.1511871622092036</v>
      </c>
      <c r="Q58" s="19">
        <f>Table23[[#This Row],[seed_d_e]]</f>
        <v>1.9521718845465972</v>
      </c>
      <c r="R58" s="19">
        <f>Table23[[#This Row],[seed_c_I_sst]]</f>
        <v>1.0800840874897575</v>
      </c>
      <c r="S58" s="19">
        <f>Table23[[#This Row],[seed_c_I_vip]]</f>
        <v>0.95792798623611364</v>
      </c>
      <c r="T58" s="19">
        <f>Table23[[#This Row],[seed_c_I_pv]]</f>
        <v>0.94492302758460911</v>
      </c>
      <c r="U58" s="19">
        <f>Table23[[#This Row],[seed_r_0_sst]]</f>
        <v>1.0474233278883787</v>
      </c>
      <c r="V58" s="19">
        <f>Table23[[#This Row],[seed_r_0_vip]]</f>
        <v>0.96967491221594537</v>
      </c>
      <c r="W58" s="19">
        <f>Table23[[#This Row],[seed_r_0_pv]]</f>
        <v>1.0416612651118389</v>
      </c>
      <c r="X58" s="19">
        <v>0.65351070789674404</v>
      </c>
      <c r="Y58" s="19">
        <v>0.67467449249167699</v>
      </c>
    </row>
    <row r="59" spans="1:25" x14ac:dyDescent="0.25">
      <c r="A59" s="1" t="s">
        <v>29</v>
      </c>
      <c r="B59" s="19">
        <f t="shared" si="20"/>
        <v>0.9793516358260147</v>
      </c>
      <c r="C59" s="19">
        <f t="shared" si="21"/>
        <v>0.58564676833915918</v>
      </c>
      <c r="D59" s="19">
        <f t="shared" si="22"/>
        <v>8.3807913798661691</v>
      </c>
      <c r="E59" s="19">
        <f t="shared" si="23"/>
        <v>1.5667604651320757</v>
      </c>
      <c r="F59" s="19">
        <f t="shared" si="24"/>
        <v>3.3727037828934314</v>
      </c>
      <c r="G59" s="19">
        <f t="shared" si="25"/>
        <v>0.46717312176373937</v>
      </c>
      <c r="H59" s="19">
        <f t="shared" si="26"/>
        <v>3.0015261714351604E-3</v>
      </c>
      <c r="I59" s="19">
        <f t="shared" si="27"/>
        <v>1.2297657969420426</v>
      </c>
      <c r="J59" s="19">
        <f t="shared" si="28"/>
        <v>1.2245936861141788</v>
      </c>
      <c r="K59" s="19">
        <v>0.60026349158933801</v>
      </c>
      <c r="L59" s="19">
        <v>0.52135653128783699</v>
      </c>
      <c r="N59" t="s">
        <v>29</v>
      </c>
      <c r="O59" s="19">
        <f>Table23[[#This Row],[seed_a_e]]</f>
        <v>0.9793516358260147</v>
      </c>
      <c r="P59" s="19">
        <f>Table23[[#This Row],[seed_b_e]]</f>
        <v>0.58564676833915918</v>
      </c>
      <c r="Q59" s="19">
        <f>Table23[[#This Row],[seed_d_e]]</f>
        <v>8.3807913798661691</v>
      </c>
      <c r="R59" s="19">
        <f>Table23[[#This Row],[seed_c_I_sst]]</f>
        <v>1.5667604651320757</v>
      </c>
      <c r="S59" s="19">
        <f>Table23[[#This Row],[seed_c_I_vip]]</f>
        <v>3.3727037828934314</v>
      </c>
      <c r="T59" s="19">
        <f>Table23[[#This Row],[seed_c_I_pv]]</f>
        <v>0.46717312176373937</v>
      </c>
      <c r="U59" s="19">
        <f>Table23[[#This Row],[seed_r_0_sst]]</f>
        <v>3.0015261714351604E-3</v>
      </c>
      <c r="V59" s="19">
        <f>Table23[[#This Row],[seed_r_0_vip]]</f>
        <v>1.2297657969420426</v>
      </c>
      <c r="W59" s="19">
        <f>Table23[[#This Row],[seed_r_0_pv]]</f>
        <v>1.2245936861141788</v>
      </c>
      <c r="X59" s="19">
        <v>0.60026349158933801</v>
      </c>
      <c r="Y59" s="19">
        <v>0.52135653128783699</v>
      </c>
    </row>
    <row r="60" spans="1:25" x14ac:dyDescent="0.25">
      <c r="A60" s="14" t="s">
        <v>30</v>
      </c>
      <c r="B60" s="19">
        <f t="shared" si="20"/>
        <v>0.91053998341258502</v>
      </c>
      <c r="C60" s="19">
        <f t="shared" si="21"/>
        <v>0.897176412247913</v>
      </c>
      <c r="D60" s="19">
        <f t="shared" si="22"/>
        <v>2.1597506857580457</v>
      </c>
      <c r="E60" s="19">
        <f t="shared" si="23"/>
        <v>0.48125718968932579</v>
      </c>
      <c r="F60" s="19">
        <f t="shared" si="24"/>
        <v>2.0714437023651593</v>
      </c>
      <c r="G60" s="19">
        <f t="shared" si="25"/>
        <v>0.89389738238217276</v>
      </c>
      <c r="H60" s="19">
        <f t="shared" si="26"/>
        <v>0.16839910638639849</v>
      </c>
      <c r="I60" s="19">
        <f t="shared" si="27"/>
        <v>0.76032361885481514</v>
      </c>
      <c r="J60" s="19">
        <f t="shared" si="28"/>
        <v>0.95308060892841995</v>
      </c>
      <c r="K60" s="19">
        <v>0.52796028692755004</v>
      </c>
      <c r="L60" s="19">
        <v>0.36092217938737903</v>
      </c>
      <c r="N60" t="s">
        <v>30</v>
      </c>
      <c r="O60" s="19">
        <f>Table23[[#This Row],[seed_a_e]]</f>
        <v>0.91053998341258502</v>
      </c>
      <c r="P60" s="19">
        <f>Table23[[#This Row],[seed_b_e]]</f>
        <v>0.897176412247913</v>
      </c>
      <c r="Q60" s="19">
        <f>Table23[[#This Row],[seed_d_e]]</f>
        <v>2.1597506857580457</v>
      </c>
      <c r="R60" s="19">
        <f>Table23[[#This Row],[seed_c_I_sst]]</f>
        <v>0.48125718968932579</v>
      </c>
      <c r="S60" s="19">
        <f>Table23[[#This Row],[seed_c_I_vip]]</f>
        <v>2.0714437023651593</v>
      </c>
      <c r="T60" s="19">
        <f>Table23[[#This Row],[seed_c_I_pv]]</f>
        <v>0.89389738238217276</v>
      </c>
      <c r="U60" s="19">
        <f>Table23[[#This Row],[seed_r_0_sst]]</f>
        <v>0.16839910638639849</v>
      </c>
      <c r="V60" s="19">
        <f>Table23[[#This Row],[seed_r_0_vip]]</f>
        <v>0.76032361885481514</v>
      </c>
      <c r="W60" s="19">
        <f>Table23[[#This Row],[seed_r_0_pv]]</f>
        <v>0.95308060892841995</v>
      </c>
      <c r="X60" s="19">
        <v>0.52796028692755004</v>
      </c>
      <c r="Y60" s="19">
        <v>0.36092217938737903</v>
      </c>
    </row>
    <row r="61" spans="1:25" ht="15.75" thickBot="1" x14ac:dyDescent="0.3"/>
    <row r="62" spans="1:25" ht="15.75" thickBot="1" x14ac:dyDescent="0.3">
      <c r="A62" s="23" t="s">
        <v>57</v>
      </c>
      <c r="N62" s="23" t="s">
        <v>55</v>
      </c>
    </row>
    <row r="63" spans="1:25" x14ac:dyDescent="0.25">
      <c r="A63" s="17" t="s">
        <v>18</v>
      </c>
      <c r="B63" s="17" t="s">
        <v>0</v>
      </c>
      <c r="C63" s="17" t="s">
        <v>1</v>
      </c>
      <c r="D63" s="17" t="s">
        <v>2</v>
      </c>
      <c r="E63" s="17" t="s">
        <v>3</v>
      </c>
      <c r="F63" s="17" t="s">
        <v>4</v>
      </c>
      <c r="G63" s="17" t="s">
        <v>5</v>
      </c>
      <c r="H63" s="17" t="s">
        <v>6</v>
      </c>
      <c r="I63" s="17" t="s">
        <v>7</v>
      </c>
      <c r="J63" s="17" t="s">
        <v>8</v>
      </c>
      <c r="K63" s="18" t="s">
        <v>20</v>
      </c>
      <c r="L63" s="17" t="s">
        <v>19</v>
      </c>
      <c r="N63" t="s">
        <v>18</v>
      </c>
      <c r="O63" t="s">
        <v>0</v>
      </c>
      <c r="P63" t="s">
        <v>1</v>
      </c>
      <c r="Q63" t="s">
        <v>2</v>
      </c>
      <c r="R63" t="s">
        <v>3</v>
      </c>
      <c r="S63" t="s">
        <v>4</v>
      </c>
      <c r="T63" t="s">
        <v>5</v>
      </c>
      <c r="U63" t="s">
        <v>6</v>
      </c>
      <c r="V63" t="s">
        <v>7</v>
      </c>
      <c r="W63" t="s">
        <v>8</v>
      </c>
      <c r="X63" t="s">
        <v>20</v>
      </c>
      <c r="Y63" t="s">
        <v>19</v>
      </c>
    </row>
    <row r="64" spans="1:25" x14ac:dyDescent="0.25">
      <c r="A64" s="1" t="s">
        <v>21</v>
      </c>
      <c r="B64" s="19">
        <f>LOG(B51,2)</f>
        <v>2.3607445216001137</v>
      </c>
      <c r="C64" s="19">
        <f t="shared" ref="C64:J64" si="29">LOG(C51,2)</f>
        <v>-5.5480921259072318</v>
      </c>
      <c r="D64" s="19">
        <f t="shared" si="29"/>
        <v>-4.9444561880769333</v>
      </c>
      <c r="E64" s="19">
        <f t="shared" si="29"/>
        <v>1.266053502001304</v>
      </c>
      <c r="F64" s="19">
        <f t="shared" si="29"/>
        <v>0.18354881786721497</v>
      </c>
      <c r="G64" s="19">
        <f t="shared" si="29"/>
        <v>1.2775329106315709</v>
      </c>
      <c r="H64" s="19">
        <f t="shared" si="29"/>
        <v>-17.576276408203682</v>
      </c>
      <c r="I64" s="19">
        <f t="shared" si="29"/>
        <v>2.3088658928421943</v>
      </c>
      <c r="J64" s="19">
        <f t="shared" si="29"/>
        <v>1.4570264131928441</v>
      </c>
      <c r="K64" s="19">
        <v>0.712406808509643</v>
      </c>
      <c r="L64" s="19">
        <v>0.52304667728695398</v>
      </c>
      <c r="N64" t="s">
        <v>21</v>
      </c>
      <c r="O64" s="19">
        <f>Table28[[#This Row],[seed_a_e]]</f>
        <v>2.3607445216001137</v>
      </c>
      <c r="P64" s="19">
        <f>Table28[[#This Row],[seed_b_e]]</f>
        <v>-5.5480921259072318</v>
      </c>
      <c r="Q64" s="19">
        <f>Table28[[#This Row],[seed_d_e]]</f>
        <v>-4.9444561880769333</v>
      </c>
      <c r="R64" s="19">
        <f>Table28[[#This Row],[seed_c_I_sst]]</f>
        <v>1.266053502001304</v>
      </c>
      <c r="S64" s="19">
        <f>Table28[[#This Row],[seed_c_I_vip]]</f>
        <v>0.18354881786721497</v>
      </c>
      <c r="T64" s="19">
        <f>Table28[[#This Row],[seed_c_I_pv]]</f>
        <v>1.2775329106315709</v>
      </c>
      <c r="U64" s="19">
        <f>Table28[[#This Row],[seed_r_0_sst]]</f>
        <v>-17.576276408203682</v>
      </c>
      <c r="V64" s="19">
        <f>Table28[[#This Row],[seed_r_0_vip]]</f>
        <v>2.3088658928421943</v>
      </c>
      <c r="W64" s="19">
        <f>Table28[[#This Row],[seed_r_0_pv]]</f>
        <v>1.4570264131928441</v>
      </c>
      <c r="X64" s="19">
        <v>0.712406808509643</v>
      </c>
      <c r="Y64" s="19">
        <v>0.52304667728695398</v>
      </c>
    </row>
    <row r="65" spans="1:25" x14ac:dyDescent="0.25">
      <c r="A65" s="14" t="s">
        <v>22</v>
      </c>
      <c r="B65" s="19">
        <f t="shared" ref="B65:J65" si="30">LOG(B52,2)</f>
        <v>2.7369653309143671</v>
      </c>
      <c r="C65" s="19">
        <f t="shared" si="30"/>
        <v>-5.4643560178443993</v>
      </c>
      <c r="D65" s="19">
        <f t="shared" si="30"/>
        <v>-0.19738475663355029</v>
      </c>
      <c r="E65" s="19">
        <f t="shared" si="30"/>
        <v>1.9212461988238425</v>
      </c>
      <c r="F65" s="19">
        <f t="shared" si="30"/>
        <v>0.53275888564756113</v>
      </c>
      <c r="G65" s="19">
        <f t="shared" si="30"/>
        <v>-3.2530613957782899</v>
      </c>
      <c r="H65" s="19">
        <f t="shared" si="30"/>
        <v>2.2598956879742653</v>
      </c>
      <c r="I65" s="19">
        <f t="shared" si="30"/>
        <v>2.218696884121365</v>
      </c>
      <c r="J65" s="19">
        <f t="shared" si="30"/>
        <v>1.2183582580427561</v>
      </c>
      <c r="K65" s="19">
        <v>0.48840316014479601</v>
      </c>
      <c r="L65" s="19">
        <v>0.495336580378823</v>
      </c>
      <c r="N65" t="s">
        <v>22</v>
      </c>
      <c r="O65" s="19">
        <f>Table28[[#This Row],[seed_a_e]]</f>
        <v>2.7369653309143671</v>
      </c>
      <c r="P65" s="19">
        <f>Table28[[#This Row],[seed_b_e]]</f>
        <v>-5.4643560178443993</v>
      </c>
      <c r="Q65" s="19">
        <f>Table28[[#This Row],[seed_d_e]]</f>
        <v>-0.19738475663355029</v>
      </c>
      <c r="R65" s="19">
        <f>Table28[[#This Row],[seed_c_I_sst]]</f>
        <v>1.9212461988238425</v>
      </c>
      <c r="S65" s="19">
        <f>Table28[[#This Row],[seed_c_I_vip]]</f>
        <v>0.53275888564756113</v>
      </c>
      <c r="T65" s="19">
        <f>Table28[[#This Row],[seed_c_I_pv]]</f>
        <v>-3.2530613957782899</v>
      </c>
      <c r="U65" s="19">
        <f>Table28[[#This Row],[seed_r_0_sst]]</f>
        <v>2.2598956879742653</v>
      </c>
      <c r="V65" s="19">
        <f>Table28[[#This Row],[seed_r_0_vip]]</f>
        <v>2.218696884121365</v>
      </c>
      <c r="W65" s="19">
        <f>Table28[[#This Row],[seed_r_0_pv]]</f>
        <v>1.2183582580427561</v>
      </c>
      <c r="X65" s="19">
        <v>0.48840316014479601</v>
      </c>
      <c r="Y65" s="19">
        <v>0.495336580378823</v>
      </c>
    </row>
    <row r="66" spans="1:25" x14ac:dyDescent="0.25">
      <c r="A66" s="1" t="s">
        <v>23</v>
      </c>
      <c r="B66" s="19">
        <f t="shared" ref="B66:J66" si="31">LOG(B53,2)</f>
        <v>-2.0224432404781951</v>
      </c>
      <c r="C66" s="19">
        <f t="shared" si="31"/>
        <v>-1.1728126557638345</v>
      </c>
      <c r="D66" s="19">
        <f t="shared" si="31"/>
        <v>0.83005773384295534</v>
      </c>
      <c r="E66" s="19">
        <f t="shared" si="31"/>
        <v>1.0706847819276819</v>
      </c>
      <c r="F66" s="19">
        <f t="shared" si="31"/>
        <v>-0.99120476240971478</v>
      </c>
      <c r="G66" s="19">
        <f t="shared" si="31"/>
        <v>-1.2177644733163766</v>
      </c>
      <c r="H66" s="19">
        <f t="shared" si="31"/>
        <v>1.2094672668679038</v>
      </c>
      <c r="I66" s="19">
        <f t="shared" si="31"/>
        <v>0.93358408262978465</v>
      </c>
      <c r="J66" s="19">
        <f t="shared" si="31"/>
        <v>0.39732774098789159</v>
      </c>
      <c r="K66" s="19">
        <v>0.59089730657681105</v>
      </c>
      <c r="L66" s="19">
        <v>0.58339645238371796</v>
      </c>
      <c r="N66" t="s">
        <v>23</v>
      </c>
      <c r="O66" s="19">
        <f>Table28[[#This Row],[seed_a_e]]</f>
        <v>-2.0224432404781951</v>
      </c>
      <c r="P66" s="19">
        <f>Table28[[#This Row],[seed_b_e]]</f>
        <v>-1.1728126557638345</v>
      </c>
      <c r="Q66" s="19">
        <f>Table28[[#This Row],[seed_d_e]]</f>
        <v>0.83005773384295534</v>
      </c>
      <c r="R66" s="19">
        <f>Table28[[#This Row],[seed_c_I_sst]]</f>
        <v>1.0706847819276819</v>
      </c>
      <c r="S66" s="19">
        <f>Table28[[#This Row],[seed_c_I_vip]]</f>
        <v>-0.99120476240971478</v>
      </c>
      <c r="T66" s="19">
        <f>Table28[[#This Row],[seed_c_I_pv]]</f>
        <v>-1.2177644733163766</v>
      </c>
      <c r="U66" s="19">
        <f>Table28[[#This Row],[seed_r_0_sst]]</f>
        <v>1.2094672668679038</v>
      </c>
      <c r="V66" s="19">
        <f>Table28[[#This Row],[seed_r_0_vip]]</f>
        <v>0.93358408262978465</v>
      </c>
      <c r="W66" s="19">
        <f>Table28[[#This Row],[seed_r_0_pv]]</f>
        <v>0.39732774098789159</v>
      </c>
      <c r="X66" s="19">
        <v>0.59089730657681105</v>
      </c>
      <c r="Y66" s="19">
        <v>0.58339645238371796</v>
      </c>
    </row>
    <row r="67" spans="1:25" x14ac:dyDescent="0.25">
      <c r="A67" s="14" t="s">
        <v>24</v>
      </c>
      <c r="B67" s="19">
        <f t="shared" ref="B67:J67" si="32">LOG(B54,2)</f>
        <v>-0.66710488797281842</v>
      </c>
      <c r="C67" s="19">
        <f t="shared" si="32"/>
        <v>-1.065247883972352</v>
      </c>
      <c r="D67" s="19">
        <f t="shared" si="32"/>
        <v>2.7682393354027499</v>
      </c>
      <c r="E67" s="19">
        <f t="shared" si="32"/>
        <v>1.4042739341932964</v>
      </c>
      <c r="F67" s="19">
        <f t="shared" si="32"/>
        <v>1.1413195368962794</v>
      </c>
      <c r="G67" s="19">
        <f t="shared" si="32"/>
        <v>0.37230205644289915</v>
      </c>
      <c r="H67" s="19">
        <f t="shared" si="32"/>
        <v>2.0409457939139006</v>
      </c>
      <c r="I67" s="19">
        <f t="shared" si="32"/>
        <v>-0.4987214686252387</v>
      </c>
      <c r="J67" s="19">
        <f t="shared" si="32"/>
        <v>0.10802871637299623</v>
      </c>
      <c r="K67" s="19">
        <v>0.67887988874580396</v>
      </c>
      <c r="L67" s="19">
        <v>0.39443555162616101</v>
      </c>
      <c r="N67" t="s">
        <v>24</v>
      </c>
      <c r="O67" s="19">
        <f>Table28[[#This Row],[seed_a_e]]</f>
        <v>-0.66710488797281842</v>
      </c>
      <c r="P67" s="19">
        <f>Table28[[#This Row],[seed_b_e]]</f>
        <v>-1.065247883972352</v>
      </c>
      <c r="Q67" s="19">
        <f>Table28[[#This Row],[seed_d_e]]</f>
        <v>2.7682393354027499</v>
      </c>
      <c r="R67" s="19">
        <f>Table28[[#This Row],[seed_c_I_sst]]</f>
        <v>1.4042739341932964</v>
      </c>
      <c r="S67" s="19">
        <f>Table28[[#This Row],[seed_c_I_vip]]</f>
        <v>1.1413195368962794</v>
      </c>
      <c r="T67" s="19">
        <f>Table28[[#This Row],[seed_c_I_pv]]</f>
        <v>0.37230205644289915</v>
      </c>
      <c r="U67" s="19">
        <f>Table28[[#This Row],[seed_r_0_sst]]</f>
        <v>2.0409457939139006</v>
      </c>
      <c r="V67" s="19">
        <f>Table28[[#This Row],[seed_r_0_vip]]</f>
        <v>-0.4987214686252387</v>
      </c>
      <c r="W67" s="19">
        <f>Table28[[#This Row],[seed_r_0_pv]]</f>
        <v>0.10802871637299623</v>
      </c>
      <c r="X67" s="19">
        <v>0.67887988874580396</v>
      </c>
      <c r="Y67" s="19">
        <v>0.39443555162616101</v>
      </c>
    </row>
    <row r="68" spans="1:25" x14ac:dyDescent="0.25">
      <c r="A68" s="1" t="s">
        <v>25</v>
      </c>
      <c r="B68" s="19">
        <f t="shared" ref="B68:J68" si="33">LOG(B55,2)</f>
        <v>-0.5728235068272447</v>
      </c>
      <c r="C68" s="19">
        <f t="shared" si="33"/>
        <v>-0.87154885970075868</v>
      </c>
      <c r="D68" s="19">
        <f t="shared" si="33"/>
        <v>3.2807249310496602</v>
      </c>
      <c r="E68" s="19">
        <f t="shared" si="33"/>
        <v>1.0181506652562498</v>
      </c>
      <c r="F68" s="19">
        <f t="shared" si="33"/>
        <v>0.86352524039149026</v>
      </c>
      <c r="G68" s="19">
        <f t="shared" si="33"/>
        <v>0.71405552326234423</v>
      </c>
      <c r="H68" s="19">
        <f t="shared" si="33"/>
        <v>0.81332421626916596</v>
      </c>
      <c r="I68" s="19">
        <f t="shared" si="33"/>
        <v>1.2689164799654529</v>
      </c>
      <c r="J68" s="19">
        <f t="shared" si="33"/>
        <v>0.93079283589731576</v>
      </c>
      <c r="K68" s="19">
        <v>0.51157923348573597</v>
      </c>
      <c r="L68" s="19">
        <v>0.59310751110297899</v>
      </c>
      <c r="N68" t="s">
        <v>25</v>
      </c>
      <c r="O68" s="19">
        <f>Table28[[#This Row],[seed_a_e]]</f>
        <v>-0.5728235068272447</v>
      </c>
      <c r="P68" s="19">
        <f>Table28[[#This Row],[seed_b_e]]</f>
        <v>-0.87154885970075868</v>
      </c>
      <c r="Q68" s="19">
        <f>Table28[[#This Row],[seed_d_e]]</f>
        <v>3.2807249310496602</v>
      </c>
      <c r="R68" s="19">
        <f>Table28[[#This Row],[seed_c_I_sst]]</f>
        <v>1.0181506652562498</v>
      </c>
      <c r="S68" s="19">
        <f>Table28[[#This Row],[seed_c_I_vip]]</f>
        <v>0.86352524039149026</v>
      </c>
      <c r="T68" s="19">
        <f>Table28[[#This Row],[seed_c_I_pv]]</f>
        <v>0.71405552326234423</v>
      </c>
      <c r="U68" s="19">
        <f>Table28[[#This Row],[seed_r_0_sst]]</f>
        <v>0.81332421626916596</v>
      </c>
      <c r="V68" s="19">
        <f>Table28[[#This Row],[seed_r_0_vip]]</f>
        <v>1.2689164799654529</v>
      </c>
      <c r="W68" s="19">
        <f>Table28[[#This Row],[seed_r_0_pv]]</f>
        <v>0.93079283589731576</v>
      </c>
      <c r="X68" s="19">
        <v>0.51157923348573597</v>
      </c>
      <c r="Y68" s="19">
        <v>0.59310751110297899</v>
      </c>
    </row>
    <row r="69" spans="1:25" x14ac:dyDescent="0.25">
      <c r="A69" s="14" t="s">
        <v>26</v>
      </c>
      <c r="B69" s="19">
        <f t="shared" ref="B69:J69" si="34">LOG(B56,2)</f>
        <v>2.5212856910530173</v>
      </c>
      <c r="C69" s="19">
        <f t="shared" si="34"/>
        <v>3.1988797069160722</v>
      </c>
      <c r="D69" s="19">
        <f t="shared" si="34"/>
        <v>3.2725454611076854</v>
      </c>
      <c r="E69" s="19">
        <f t="shared" si="34"/>
        <v>1.5206350471996271</v>
      </c>
      <c r="F69" s="19">
        <f t="shared" si="34"/>
        <v>-1.435528289121266</v>
      </c>
      <c r="G69" s="19">
        <f t="shared" si="34"/>
        <v>-2.0850624802025322</v>
      </c>
      <c r="H69" s="19">
        <f t="shared" si="34"/>
        <v>3.1049321550326421</v>
      </c>
      <c r="I69" s="19">
        <f t="shared" si="34"/>
        <v>0.36576843022015681</v>
      </c>
      <c r="J69" s="19">
        <f t="shared" si="34"/>
        <v>1.9318958012724012</v>
      </c>
      <c r="K69" s="19">
        <v>0.61136346201208103</v>
      </c>
      <c r="L69" s="19">
        <v>0.46257299662969398</v>
      </c>
      <c r="N69" t="s">
        <v>26</v>
      </c>
      <c r="O69" s="19">
        <f>Table28[[#This Row],[seed_a_e]]</f>
        <v>2.5212856910530173</v>
      </c>
      <c r="P69" s="19">
        <f>Table28[[#This Row],[seed_b_e]]</f>
        <v>3.1988797069160722</v>
      </c>
      <c r="Q69" s="19">
        <f>Table28[[#This Row],[seed_d_e]]</f>
        <v>3.2725454611076854</v>
      </c>
      <c r="R69" s="19">
        <f>Table28[[#This Row],[seed_c_I_sst]]</f>
        <v>1.5206350471996271</v>
      </c>
      <c r="S69" s="19">
        <f>Table28[[#This Row],[seed_c_I_vip]]</f>
        <v>-1.435528289121266</v>
      </c>
      <c r="T69" s="19">
        <f>Table28[[#This Row],[seed_c_I_pv]]</f>
        <v>-2.0850624802025322</v>
      </c>
      <c r="U69" s="19">
        <f>Table28[[#This Row],[seed_r_0_sst]]</f>
        <v>3.1049321550326421</v>
      </c>
      <c r="V69" s="19">
        <f>Table28[[#This Row],[seed_r_0_vip]]</f>
        <v>0.36576843022015681</v>
      </c>
      <c r="W69" s="19">
        <f>Table28[[#This Row],[seed_r_0_pv]]</f>
        <v>1.9318958012724012</v>
      </c>
      <c r="X69" s="19">
        <v>0.61136346201208103</v>
      </c>
      <c r="Y69" s="19">
        <v>0.46257299662969398</v>
      </c>
    </row>
    <row r="70" spans="1:25" x14ac:dyDescent="0.25">
      <c r="A70" s="1" t="s">
        <v>27</v>
      </c>
      <c r="B70" s="19">
        <f t="shared" ref="B70:J70" si="35">LOG(B57,2)</f>
        <v>-3.2981334545091294</v>
      </c>
      <c r="C70" s="19">
        <f t="shared" si="35"/>
        <v>-3.1626877579229191</v>
      </c>
      <c r="D70" s="19">
        <f t="shared" si="35"/>
        <v>2.6193054413637524</v>
      </c>
      <c r="E70" s="19">
        <f t="shared" si="35"/>
        <v>0.59017786198087197</v>
      </c>
      <c r="F70" s="19">
        <f t="shared" si="35"/>
        <v>1.8652835099839846</v>
      </c>
      <c r="G70" s="19">
        <f t="shared" si="35"/>
        <v>-0.32388069362483574</v>
      </c>
      <c r="H70" s="19">
        <f t="shared" si="35"/>
        <v>0.70553036209248776</v>
      </c>
      <c r="I70" s="19">
        <f t="shared" si="35"/>
        <v>1.9729298499217129</v>
      </c>
      <c r="J70" s="19">
        <f t="shared" si="35"/>
        <v>0.88433031809514107</v>
      </c>
      <c r="K70" s="19">
        <v>0.55681124125554704</v>
      </c>
      <c r="L70" s="19">
        <v>0.35074167737220402</v>
      </c>
      <c r="N70" t="s">
        <v>27</v>
      </c>
      <c r="O70" s="19">
        <f>Table28[[#This Row],[seed_a_e]]</f>
        <v>-3.2981334545091294</v>
      </c>
      <c r="P70" s="19">
        <f>Table28[[#This Row],[seed_b_e]]</f>
        <v>-3.1626877579229191</v>
      </c>
      <c r="Q70" s="19">
        <f>Table28[[#This Row],[seed_d_e]]</f>
        <v>2.6193054413637524</v>
      </c>
      <c r="R70" s="19">
        <f>Table28[[#This Row],[seed_c_I_sst]]</f>
        <v>0.59017786198087197</v>
      </c>
      <c r="S70" s="19">
        <f>Table28[[#This Row],[seed_c_I_vip]]</f>
        <v>1.8652835099839846</v>
      </c>
      <c r="T70" s="19">
        <f>Table28[[#This Row],[seed_c_I_pv]]</f>
        <v>-0.32388069362483574</v>
      </c>
      <c r="U70" s="19">
        <f>Table28[[#This Row],[seed_r_0_sst]]</f>
        <v>0.70553036209248776</v>
      </c>
      <c r="V70" s="19">
        <f>Table28[[#This Row],[seed_r_0_vip]]</f>
        <v>1.9729298499217129</v>
      </c>
      <c r="W70" s="19">
        <f>Table28[[#This Row],[seed_r_0_pv]]</f>
        <v>0.88433031809514107</v>
      </c>
      <c r="X70" s="19">
        <v>0.55681124125554704</v>
      </c>
      <c r="Y70" s="19">
        <v>0.35074167737220402</v>
      </c>
    </row>
    <row r="71" spans="1:25" x14ac:dyDescent="0.25">
      <c r="A71" s="14" t="s">
        <v>28</v>
      </c>
      <c r="B71" s="19">
        <f t="shared" ref="B71:J71" si="36">LOG(B58,2)</f>
        <v>1.2676849015540158E-2</v>
      </c>
      <c r="C71" s="19">
        <f t="shared" si="36"/>
        <v>0.20312240865680684</v>
      </c>
      <c r="D71" s="19">
        <f t="shared" si="36"/>
        <v>0.96508008469677264</v>
      </c>
      <c r="E71" s="19">
        <f t="shared" si="36"/>
        <v>0.11114363450179288</v>
      </c>
      <c r="F71" s="19">
        <f t="shared" si="36"/>
        <v>-6.2010891749634929E-2</v>
      </c>
      <c r="G71" s="19">
        <f t="shared" si="36"/>
        <v>-8.1731281156573729E-2</v>
      </c>
      <c r="H71" s="19">
        <f t="shared" si="36"/>
        <v>6.68446415154242E-2</v>
      </c>
      <c r="I71" s="19">
        <f t="shared" si="36"/>
        <v>-4.4426936394511819E-2</v>
      </c>
      <c r="J71" s="19">
        <f t="shared" si="36"/>
        <v>5.8886207949663268E-2</v>
      </c>
      <c r="K71" s="19">
        <v>0.65351070789674404</v>
      </c>
      <c r="L71" s="19">
        <v>0.67467449249167699</v>
      </c>
      <c r="N71" t="s">
        <v>28</v>
      </c>
      <c r="O71" s="19">
        <f>Table28[[#This Row],[seed_a_e]]</f>
        <v>1.2676849015540158E-2</v>
      </c>
      <c r="P71" s="19">
        <f>Table28[[#This Row],[seed_b_e]]</f>
        <v>0.20312240865680684</v>
      </c>
      <c r="Q71" s="19">
        <f>Table28[[#This Row],[seed_d_e]]</f>
        <v>0.96508008469677264</v>
      </c>
      <c r="R71" s="19">
        <f>Table28[[#This Row],[seed_c_I_sst]]</f>
        <v>0.11114363450179288</v>
      </c>
      <c r="S71" s="19">
        <f>Table28[[#This Row],[seed_c_I_vip]]</f>
        <v>-6.2010891749634929E-2</v>
      </c>
      <c r="T71" s="19">
        <f>Table28[[#This Row],[seed_c_I_pv]]</f>
        <v>-8.1731281156573729E-2</v>
      </c>
      <c r="U71" s="19">
        <f>Table28[[#This Row],[seed_r_0_sst]]</f>
        <v>6.68446415154242E-2</v>
      </c>
      <c r="V71" s="19">
        <f>Table28[[#This Row],[seed_r_0_vip]]</f>
        <v>-4.4426936394511819E-2</v>
      </c>
      <c r="W71" s="19">
        <f>Table28[[#This Row],[seed_r_0_pv]]</f>
        <v>5.8886207949663268E-2</v>
      </c>
      <c r="X71" s="19">
        <v>0.65351070789674404</v>
      </c>
      <c r="Y71" s="19">
        <v>0.67467449249167699</v>
      </c>
    </row>
    <row r="72" spans="1:25" x14ac:dyDescent="0.25">
      <c r="A72" s="1" t="s">
        <v>29</v>
      </c>
      <c r="B72" s="19">
        <f t="shared" ref="B72:J72" si="37">LOG(B59,2)</f>
        <v>-3.0101142946064852E-2</v>
      </c>
      <c r="C72" s="19">
        <f t="shared" si="37"/>
        <v>-0.77189732651675569</v>
      </c>
      <c r="D72" s="19">
        <f t="shared" si="37"/>
        <v>3.0670864809057279</v>
      </c>
      <c r="E72" s="19">
        <f t="shared" si="37"/>
        <v>0.647784629598955</v>
      </c>
      <c r="F72" s="19">
        <f t="shared" si="37"/>
        <v>1.7539056152084656</v>
      </c>
      <c r="G72" s="19">
        <f t="shared" si="37"/>
        <v>-1.0979708219828659</v>
      </c>
      <c r="H72" s="19">
        <f t="shared" si="37"/>
        <v>-8.3800880372419684</v>
      </c>
      <c r="I72" s="19">
        <f t="shared" si="37"/>
        <v>0.298383587302404</v>
      </c>
      <c r="J72" s="19">
        <f t="shared" si="37"/>
        <v>0.29230314982842931</v>
      </c>
      <c r="K72" s="19">
        <v>0.60026349158933801</v>
      </c>
      <c r="L72" s="19">
        <v>0.52135653128783699</v>
      </c>
      <c r="N72" t="s">
        <v>29</v>
      </c>
      <c r="O72" s="19">
        <f>Table28[[#This Row],[seed_a_e]]</f>
        <v>-3.0101142946064852E-2</v>
      </c>
      <c r="P72" s="19">
        <f>Table28[[#This Row],[seed_b_e]]</f>
        <v>-0.77189732651675569</v>
      </c>
      <c r="Q72" s="19">
        <f>Table28[[#This Row],[seed_d_e]]</f>
        <v>3.0670864809057279</v>
      </c>
      <c r="R72" s="19">
        <f>Table28[[#This Row],[seed_c_I_sst]]</f>
        <v>0.647784629598955</v>
      </c>
      <c r="S72" s="19">
        <f>Table28[[#This Row],[seed_c_I_vip]]</f>
        <v>1.7539056152084656</v>
      </c>
      <c r="T72" s="19">
        <f>Table28[[#This Row],[seed_c_I_pv]]</f>
        <v>-1.0979708219828659</v>
      </c>
      <c r="U72" s="19">
        <f>Table28[[#This Row],[seed_r_0_sst]]</f>
        <v>-8.3800880372419684</v>
      </c>
      <c r="V72" s="19">
        <f>Table28[[#This Row],[seed_r_0_vip]]</f>
        <v>0.298383587302404</v>
      </c>
      <c r="W72" s="19">
        <f>Table28[[#This Row],[seed_r_0_pv]]</f>
        <v>0.29230314982842931</v>
      </c>
      <c r="X72" s="19">
        <v>0.60026349158933801</v>
      </c>
      <c r="Y72" s="19">
        <v>0.52135653128783699</v>
      </c>
    </row>
    <row r="73" spans="1:25" x14ac:dyDescent="0.25">
      <c r="A73" s="14" t="s">
        <v>30</v>
      </c>
      <c r="B73" s="19">
        <f t="shared" ref="B73:J73" si="38">LOG(B60,2)</f>
        <v>-0.13520572501689562</v>
      </c>
      <c r="C73" s="19">
        <f t="shared" si="38"/>
        <v>-0.15653640399984656</v>
      </c>
      <c r="D73" s="19">
        <f t="shared" si="38"/>
        <v>1.1108647822127893</v>
      </c>
      <c r="E73" s="19">
        <f t="shared" si="38"/>
        <v>-1.0551200010461632</v>
      </c>
      <c r="F73" s="19">
        <f t="shared" si="38"/>
        <v>1.0506366113273589</v>
      </c>
      <c r="G73" s="19">
        <f t="shared" si="38"/>
        <v>-0.1618188724560726</v>
      </c>
      <c r="H73" s="19">
        <f t="shared" si="38"/>
        <v>-2.5700436121560464</v>
      </c>
      <c r="I73" s="19">
        <f t="shared" si="38"/>
        <v>-0.39531448693324878</v>
      </c>
      <c r="J73" s="19">
        <f t="shared" si="38"/>
        <v>-6.9329856425569006E-2</v>
      </c>
      <c r="K73" s="19">
        <v>0.52796028692755004</v>
      </c>
      <c r="L73" s="19">
        <v>0.36092217938737903</v>
      </c>
      <c r="N73" t="s">
        <v>30</v>
      </c>
      <c r="O73" s="19">
        <f>Table28[[#This Row],[seed_a_e]]</f>
        <v>-0.13520572501689562</v>
      </c>
      <c r="P73" s="19">
        <f>Table28[[#This Row],[seed_b_e]]</f>
        <v>-0.15653640399984656</v>
      </c>
      <c r="Q73" s="19">
        <f>Table28[[#This Row],[seed_d_e]]</f>
        <v>1.1108647822127893</v>
      </c>
      <c r="R73" s="19">
        <f>Table28[[#This Row],[seed_c_I_sst]]</f>
        <v>-1.0551200010461632</v>
      </c>
      <c r="S73" s="19">
        <f>Table28[[#This Row],[seed_c_I_vip]]</f>
        <v>1.0506366113273589</v>
      </c>
      <c r="T73" s="19">
        <f>Table28[[#This Row],[seed_c_I_pv]]</f>
        <v>-0.1618188724560726</v>
      </c>
      <c r="U73" s="19">
        <f>Table28[[#This Row],[seed_r_0_sst]]</f>
        <v>-2.5700436121560464</v>
      </c>
      <c r="V73" s="19">
        <f>Table28[[#This Row],[seed_r_0_vip]]</f>
        <v>-0.39531448693324878</v>
      </c>
      <c r="W73" s="19">
        <f>Table28[[#This Row],[seed_r_0_pv]]</f>
        <v>-6.9329856425569006E-2</v>
      </c>
      <c r="X73" s="19">
        <v>0.52796028692755004</v>
      </c>
      <c r="Y73" s="19">
        <v>0.36092217938737903</v>
      </c>
    </row>
    <row r="75" spans="1:25" ht="15.75" thickBot="1" x14ac:dyDescent="0.3"/>
    <row r="76" spans="1:25" ht="15.75" thickBot="1" x14ac:dyDescent="0.3">
      <c r="A76" s="23" t="s">
        <v>53</v>
      </c>
      <c r="F76" s="23" t="s">
        <v>54</v>
      </c>
    </row>
    <row r="77" spans="1:25" x14ac:dyDescent="0.25">
      <c r="A77" s="17" t="s">
        <v>18</v>
      </c>
      <c r="B77" s="18" t="s">
        <v>20</v>
      </c>
      <c r="C77" s="17" t="s">
        <v>19</v>
      </c>
      <c r="F77" s="17" t="s">
        <v>18</v>
      </c>
      <c r="G77" s="18" t="s">
        <v>20</v>
      </c>
      <c r="H77" s="18" t="s">
        <v>19</v>
      </c>
      <c r="I77" s="43" t="s">
        <v>52</v>
      </c>
      <c r="S77" t="s">
        <v>58</v>
      </c>
    </row>
    <row r="78" spans="1:25" x14ac:dyDescent="0.25">
      <c r="A78" s="1" t="s">
        <v>21</v>
      </c>
      <c r="B78" s="32">
        <v>0.712406808509643</v>
      </c>
      <c r="C78" s="32">
        <v>0.52304667728695398</v>
      </c>
      <c r="F78" s="41" t="s">
        <v>21</v>
      </c>
      <c r="G78" s="19">
        <f>Table32[[#This Row],[best_pearson_r]]^2</f>
        <v>0.50752346081089517</v>
      </c>
      <c r="H78" s="19">
        <f>Table32[[#This Row],[best_difference_vector_r]]^2</f>
        <v>0.273577826620923</v>
      </c>
      <c r="I78" s="19">
        <f>Table33[[#This Row],[best_pearson_r]]+Table33[[#This Row],[best_difference_vector_r]]</f>
        <v>0.78110128743181817</v>
      </c>
    </row>
    <row r="79" spans="1:25" x14ac:dyDescent="0.25">
      <c r="A79" s="14" t="s">
        <v>22</v>
      </c>
      <c r="B79" s="33">
        <v>0.48840316014479601</v>
      </c>
      <c r="C79" s="33">
        <v>0.495336580378823</v>
      </c>
      <c r="F79" s="42" t="s">
        <v>22</v>
      </c>
      <c r="G79" s="19">
        <f>Table32[[#This Row],[best_pearson_r]]^2</f>
        <v>0.23853764683942325</v>
      </c>
      <c r="H79" s="19">
        <f>Table32[[#This Row],[best_difference_vector_r]]^2</f>
        <v>0.24535832786138617</v>
      </c>
      <c r="I79" s="19">
        <f>Table33[[#This Row],[best_pearson_r]]+Table33[[#This Row],[best_difference_vector_r]]</f>
        <v>0.48389597470080942</v>
      </c>
    </row>
    <row r="80" spans="1:25" x14ac:dyDescent="0.25">
      <c r="A80" s="1" t="s">
        <v>23</v>
      </c>
      <c r="B80" s="32">
        <v>0.59089730657681105</v>
      </c>
      <c r="C80" s="32">
        <v>0.58339645238371796</v>
      </c>
      <c r="F80" s="41" t="s">
        <v>23</v>
      </c>
      <c r="G80" s="19">
        <f>Table32[[#This Row],[best_pearson_r]]^2</f>
        <v>0.34915962691972985</v>
      </c>
      <c r="H80" s="19">
        <f>Table32[[#This Row],[best_difference_vector_r]]^2</f>
        <v>0.34035142065390767</v>
      </c>
      <c r="I80" s="19">
        <f>Table33[[#This Row],[best_pearson_r]]+Table33[[#This Row],[best_difference_vector_r]]</f>
        <v>0.68951104757363746</v>
      </c>
    </row>
    <row r="81" spans="1:9" x14ac:dyDescent="0.25">
      <c r="A81" s="14" t="s">
        <v>24</v>
      </c>
      <c r="B81" s="33">
        <v>0.67887988874580396</v>
      </c>
      <c r="C81" s="33">
        <v>0.39443555162616101</v>
      </c>
      <c r="F81" s="42" t="s">
        <v>24</v>
      </c>
      <c r="G81" s="19">
        <f>Table32[[#This Row],[best_pearson_r]]^2</f>
        <v>0.46087790334351514</v>
      </c>
      <c r="H81" s="19">
        <f>Table32[[#This Row],[best_difference_vector_r]]^2</f>
        <v>0.15557940438663392</v>
      </c>
      <c r="I81" s="19">
        <f>Table33[[#This Row],[best_pearson_r]]+Table33[[#This Row],[best_difference_vector_r]]</f>
        <v>0.61645730773014906</v>
      </c>
    </row>
    <row r="82" spans="1:9" x14ac:dyDescent="0.25">
      <c r="A82" s="1" t="s">
        <v>25</v>
      </c>
      <c r="B82" s="32">
        <v>0.51157923348573597</v>
      </c>
      <c r="C82" s="32">
        <v>0.59310751110297899</v>
      </c>
      <c r="F82" s="41" t="s">
        <v>25</v>
      </c>
      <c r="G82" s="19">
        <f>Table32[[#This Row],[best_pearson_r]]^2</f>
        <v>0.26171331213385318</v>
      </c>
      <c r="H82" s="19">
        <f>Table32[[#This Row],[best_difference_vector_r]]^2</f>
        <v>0.35177651972677032</v>
      </c>
      <c r="I82" s="19">
        <f>Table33[[#This Row],[best_pearson_r]]+Table33[[#This Row],[best_difference_vector_r]]</f>
        <v>0.61348983186062345</v>
      </c>
    </row>
    <row r="83" spans="1:9" x14ac:dyDescent="0.25">
      <c r="A83" s="14" t="s">
        <v>26</v>
      </c>
      <c r="B83" s="33">
        <v>0.61136346201208103</v>
      </c>
      <c r="C83" s="33">
        <v>0.46257299662969398</v>
      </c>
      <c r="F83" s="42" t="s">
        <v>26</v>
      </c>
      <c r="G83" s="19">
        <f>Table32[[#This Row],[best_pearson_r]]^2</f>
        <v>0.37376528268339726</v>
      </c>
      <c r="H83" s="19">
        <f>Table32[[#This Row],[best_difference_vector_r]]^2</f>
        <v>0.21397377721097488</v>
      </c>
      <c r="I83" s="19">
        <f>Table33[[#This Row],[best_pearson_r]]+Table33[[#This Row],[best_difference_vector_r]]</f>
        <v>0.58773905989437214</v>
      </c>
    </row>
    <row r="84" spans="1:9" x14ac:dyDescent="0.25">
      <c r="A84" s="1" t="s">
        <v>27</v>
      </c>
      <c r="B84" s="32">
        <v>0.55681124125554704</v>
      </c>
      <c r="C84" s="32">
        <v>0.35074167737220402</v>
      </c>
      <c r="F84" s="41" t="s">
        <v>27</v>
      </c>
      <c r="G84" s="19">
        <f>Table32[[#This Row],[best_pearson_r]]^2</f>
        <v>0.310038758388543</v>
      </c>
      <c r="H84" s="19">
        <f>Table32[[#This Row],[best_difference_vector_r]]^2</f>
        <v>0.12301972424586725</v>
      </c>
      <c r="I84" s="19">
        <f>Table33[[#This Row],[best_pearson_r]]+Table33[[#This Row],[best_difference_vector_r]]</f>
        <v>0.43305848263441027</v>
      </c>
    </row>
    <row r="85" spans="1:9" x14ac:dyDescent="0.25">
      <c r="A85" s="14" t="s">
        <v>28</v>
      </c>
      <c r="B85" s="33">
        <v>0.65351070789674404</v>
      </c>
      <c r="C85" s="33">
        <v>0.67467449249167699</v>
      </c>
      <c r="F85" s="42" t="s">
        <v>28</v>
      </c>
      <c r="G85" s="19">
        <f>Table32[[#This Row],[best_pearson_r]]^2</f>
        <v>0.42707624533570349</v>
      </c>
      <c r="H85" s="19">
        <f>Table32[[#This Row],[best_difference_vector_r]]^2</f>
        <v>0.45518567081890193</v>
      </c>
      <c r="I85" s="19">
        <f>Table33[[#This Row],[best_pearson_r]]+Table33[[#This Row],[best_difference_vector_r]]</f>
        <v>0.88226191615460547</v>
      </c>
    </row>
    <row r="86" spans="1:9" x14ac:dyDescent="0.25">
      <c r="A86" s="1" t="s">
        <v>29</v>
      </c>
      <c r="B86" s="32">
        <v>0.60026349158933801</v>
      </c>
      <c r="C86" s="32">
        <v>0.52135653128783699</v>
      </c>
      <c r="F86" s="41" t="s">
        <v>29</v>
      </c>
      <c r="G86" s="19">
        <f>Table32[[#This Row],[best_pearson_r]]^2</f>
        <v>0.36031625933502326</v>
      </c>
      <c r="H86" s="19">
        <f>Table32[[#This Row],[best_difference_vector_r]]^2</f>
        <v>0.27181263271648537</v>
      </c>
      <c r="I86" s="19">
        <f>Table33[[#This Row],[best_pearson_r]]+Table33[[#This Row],[best_difference_vector_r]]</f>
        <v>0.63212889205150868</v>
      </c>
    </row>
    <row r="87" spans="1:9" x14ac:dyDescent="0.25">
      <c r="A87" s="34" t="s">
        <v>30</v>
      </c>
      <c r="B87" s="35">
        <v>0.52796028692755004</v>
      </c>
      <c r="C87" s="35">
        <v>0.36092217938737903</v>
      </c>
      <c r="F87" s="42" t="s">
        <v>30</v>
      </c>
      <c r="G87" s="19">
        <f>Table32[[#This Row],[best_pearson_r]]^2</f>
        <v>0.27874206457262096</v>
      </c>
      <c r="H87" s="19">
        <f>Table32[[#This Row],[best_difference_vector_r]]^2</f>
        <v>0.1302648195737354</v>
      </c>
      <c r="I87" s="19">
        <f>Table33[[#This Row],[best_pearson_r]]+Table33[[#This Row],[best_difference_vector_r]]</f>
        <v>0.40900688414635633</v>
      </c>
    </row>
  </sheetData>
  <phoneticPr fontId="4" type="noConversion"/>
  <conditionalFormatting sqref="N51:N6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1:W60">
    <cfRule type="cellIs" dxfId="6" priority="1" operator="between">
      <formula>0.95</formula>
      <formula>1.05</formula>
    </cfRule>
    <cfRule type="cellIs" dxfId="5" priority="8" operator="lessThan">
      <formula>1</formula>
    </cfRule>
    <cfRule type="cellIs" dxfId="4" priority="9" operator="greaterThan">
      <formula>1</formula>
    </cfRule>
    <cfRule type="cellIs" dxfId="3" priority="10" operator="greaterThan">
      <formula>1</formula>
    </cfRule>
  </conditionalFormatting>
  <conditionalFormatting sqref="O64:W73">
    <cfRule type="cellIs" dxfId="2" priority="2" operator="between">
      <formula>-0.07</formula>
      <formula>0.07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445F-8D43-4D1E-9470-CD21867C00BD}">
  <sheetPr codeName="Sheet2"/>
  <dimension ref="A1:K11"/>
  <sheetViews>
    <sheetView workbookViewId="0">
      <selection sqref="A1:K11"/>
    </sheetView>
  </sheetViews>
  <sheetFormatPr defaultRowHeight="15" x14ac:dyDescent="0.25"/>
  <cols>
    <col min="1" max="1" width="25.28515625" customWidth="1"/>
    <col min="10" max="11" width="10" customWidth="1"/>
  </cols>
  <sheetData>
    <row r="1" spans="1:11" x14ac:dyDescent="0.25">
      <c r="A1" s="10" t="s">
        <v>18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8" t="s">
        <v>30</v>
      </c>
    </row>
    <row r="2" spans="1:11" x14ac:dyDescent="0.25">
      <c r="A2" s="3" t="s">
        <v>9</v>
      </c>
      <c r="B2" s="2">
        <v>207.20467655870499</v>
      </c>
      <c r="C2" s="2">
        <v>272.31650351944398</v>
      </c>
      <c r="D2" s="2">
        <v>302.87094464883103</v>
      </c>
      <c r="E2" s="2">
        <v>345.88846989131099</v>
      </c>
      <c r="F2" s="2">
        <v>291.75019204773599</v>
      </c>
      <c r="G2" s="2">
        <v>282.05595309017599</v>
      </c>
      <c r="H2" s="2">
        <v>309.38600070303897</v>
      </c>
      <c r="I2" s="2">
        <v>312.89081619732599</v>
      </c>
      <c r="J2" s="2">
        <v>342.82009492832998</v>
      </c>
      <c r="K2" s="6">
        <v>383.49814319776499</v>
      </c>
    </row>
    <row r="3" spans="1:11" x14ac:dyDescent="0.25">
      <c r="A3" s="3" t="s">
        <v>10</v>
      </c>
      <c r="B3" s="2">
        <v>293.25329969790698</v>
      </c>
      <c r="C3" s="2">
        <v>287.16824865824401</v>
      </c>
      <c r="D3" s="2">
        <v>242.56534972438001</v>
      </c>
      <c r="E3" s="2">
        <v>281.901530673266</v>
      </c>
      <c r="F3" s="2">
        <v>229.895623634158</v>
      </c>
      <c r="G3" s="2">
        <v>248.055609685403</v>
      </c>
      <c r="H3" s="2">
        <v>277.95704939579798</v>
      </c>
      <c r="I3" s="2">
        <v>284.42699465677299</v>
      </c>
      <c r="J3" s="2">
        <v>254.512650685121</v>
      </c>
      <c r="K3" s="6">
        <v>295.53006890168803</v>
      </c>
    </row>
    <row r="4" spans="1:11" x14ac:dyDescent="0.25">
      <c r="A4" s="3" t="s">
        <v>11</v>
      </c>
      <c r="B4" s="2">
        <v>16.6770030219717</v>
      </c>
      <c r="C4" s="2">
        <v>42.380344445957597</v>
      </c>
      <c r="D4" s="2">
        <v>37.110905759773502</v>
      </c>
      <c r="E4" s="2">
        <v>20.2491956509175</v>
      </c>
      <c r="F4" s="2">
        <v>2.2830544730840701</v>
      </c>
      <c r="G4" s="2">
        <v>16.664449292302301</v>
      </c>
      <c r="H4" s="2">
        <v>13.2171213939921</v>
      </c>
      <c r="I4" s="2">
        <v>17.168812986892501</v>
      </c>
      <c r="J4" s="2">
        <v>38.296524452085698</v>
      </c>
      <c r="K4" s="6">
        <v>10.908720790003001</v>
      </c>
    </row>
    <row r="5" spans="1:11" x14ac:dyDescent="0.25">
      <c r="A5" s="3" t="s">
        <v>12</v>
      </c>
      <c r="B5" s="2">
        <v>2.5828316576292498</v>
      </c>
      <c r="C5" s="2">
        <v>3.50290511554158</v>
      </c>
      <c r="D5" s="2">
        <v>0.93342343584117304</v>
      </c>
      <c r="E5" s="2">
        <v>1.28150943560069</v>
      </c>
      <c r="F5" s="2">
        <v>0.50078760641912201</v>
      </c>
      <c r="G5" s="2">
        <v>0.78072314346226601</v>
      </c>
      <c r="H5" s="2">
        <v>1.9905711292449599</v>
      </c>
      <c r="I5" s="2">
        <v>2.2655386568436202</v>
      </c>
      <c r="J5" s="2">
        <v>0.60141584725129005</v>
      </c>
      <c r="K5" s="6">
        <v>1.9414711346911</v>
      </c>
    </row>
    <row r="6" spans="1:11" x14ac:dyDescent="0.25">
      <c r="A6" s="3" t="s">
        <v>13</v>
      </c>
      <c r="B6" s="2">
        <v>2.3809876571672599</v>
      </c>
      <c r="C6" s="2">
        <v>4.7122265437725703</v>
      </c>
      <c r="D6" s="2">
        <v>3.26709396597531</v>
      </c>
      <c r="E6" s="2">
        <v>3.6161836022092499</v>
      </c>
      <c r="F6" s="2">
        <v>5.9672239424360196</v>
      </c>
      <c r="G6" s="2">
        <v>5.6930948427408801</v>
      </c>
      <c r="H6" s="2">
        <v>5.2188463988476101</v>
      </c>
      <c r="I6" s="2">
        <v>3.1755467425222301</v>
      </c>
      <c r="J6" s="2">
        <v>5.1232263154966704</v>
      </c>
      <c r="K6" s="6">
        <v>5.8264241740704001</v>
      </c>
    </row>
    <row r="7" spans="1:11" x14ac:dyDescent="0.25">
      <c r="A7" s="3" t="s">
        <v>14</v>
      </c>
      <c r="B7" s="2">
        <v>0.26968170410769299</v>
      </c>
      <c r="C7" s="2">
        <v>0.38692151806168701</v>
      </c>
      <c r="D7" s="2">
        <v>0.29018154971216098</v>
      </c>
      <c r="E7" s="2">
        <v>0.13391634814106301</v>
      </c>
      <c r="F7" s="2">
        <v>0.28793717414148701</v>
      </c>
      <c r="G7" s="2">
        <v>0.44802420033311402</v>
      </c>
      <c r="H7" s="2">
        <v>0.34967180197658598</v>
      </c>
      <c r="I7" s="2">
        <v>0.26021249859179302</v>
      </c>
      <c r="J7" s="2">
        <v>0.43623944958462102</v>
      </c>
      <c r="K7" s="6">
        <v>0.254281543789803</v>
      </c>
    </row>
    <row r="8" spans="1:11" x14ac:dyDescent="0.25">
      <c r="A8" s="3" t="s">
        <v>15</v>
      </c>
      <c r="B8" s="2">
        <v>0.13123646687471699</v>
      </c>
      <c r="C8" s="2">
        <v>1.8101739896181299</v>
      </c>
      <c r="D8" s="2">
        <v>0.10936669765116799</v>
      </c>
      <c r="E8" s="2">
        <v>1.4922960780933101</v>
      </c>
      <c r="F8" s="2">
        <v>0.60616125452637304</v>
      </c>
      <c r="G8" s="2">
        <v>0.35719840777455197</v>
      </c>
      <c r="H8" s="2">
        <v>0.81994696747135898</v>
      </c>
      <c r="I8" s="2">
        <v>0.69819047700882697</v>
      </c>
      <c r="J8" s="2">
        <v>1.94327529715366</v>
      </c>
      <c r="K8" s="6">
        <v>0.174858589199784</v>
      </c>
    </row>
    <row r="9" spans="1:11" x14ac:dyDescent="0.25">
      <c r="A9" s="3" t="s">
        <v>16</v>
      </c>
      <c r="B9" s="2">
        <v>0.10282628011940199</v>
      </c>
      <c r="C9" s="2">
        <v>0.40897601155595098</v>
      </c>
      <c r="D9" s="2">
        <v>0.65417030553005795</v>
      </c>
      <c r="E9" s="2">
        <v>0.45475706726294002</v>
      </c>
      <c r="F9" s="2">
        <v>0.92589608280382696</v>
      </c>
      <c r="G9" s="2">
        <v>0.26763740153223697</v>
      </c>
      <c r="H9" s="2">
        <v>5.0017678717971699E-2</v>
      </c>
      <c r="I9" s="2">
        <v>0.462831830511852</v>
      </c>
      <c r="J9" s="2">
        <v>5.5698024686435199E-2</v>
      </c>
      <c r="K9" s="6">
        <v>1.3351915860315799</v>
      </c>
    </row>
    <row r="10" spans="1:11" x14ac:dyDescent="0.25">
      <c r="A10" s="3" t="s">
        <v>17</v>
      </c>
      <c r="B10" s="2">
        <v>0.87731053318815699</v>
      </c>
      <c r="C10" s="2">
        <v>0.84263063737419996</v>
      </c>
      <c r="D10" s="2">
        <v>1.70822980341233</v>
      </c>
      <c r="E10" s="2">
        <v>0.56631437168084697</v>
      </c>
      <c r="F10" s="2">
        <v>1.12941720301499</v>
      </c>
      <c r="G10" s="2">
        <v>1.6093094063643001</v>
      </c>
      <c r="H10" s="2">
        <v>1.1383533060994999</v>
      </c>
      <c r="I10" s="2">
        <v>0.55322283364831004</v>
      </c>
      <c r="J10" s="2">
        <v>1.5066033332530799</v>
      </c>
      <c r="K10" s="6">
        <v>0.52498479937132303</v>
      </c>
    </row>
    <row r="11" spans="1:11" x14ac:dyDescent="0.25">
      <c r="A11" s="4" t="s">
        <v>20</v>
      </c>
      <c r="B11" s="5">
        <v>0.468248806570429</v>
      </c>
      <c r="C11" s="5">
        <v>0.58748457399883502</v>
      </c>
      <c r="D11" s="5">
        <v>0.62558234010755398</v>
      </c>
      <c r="E11" s="5">
        <v>0.44903815265423302</v>
      </c>
      <c r="F11" s="5">
        <v>0.73387441165539402</v>
      </c>
      <c r="G11" s="5">
        <v>0.70349019065174301</v>
      </c>
      <c r="H11" s="5">
        <v>0.47233561148563602</v>
      </c>
      <c r="I11" s="5">
        <v>0.63343390900898799</v>
      </c>
      <c r="J11" s="5">
        <v>0.70210984544366195</v>
      </c>
      <c r="K11" s="9">
        <v>0.49352947071422798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EE9B08-C13D-4764-BDD4-961FE564C5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Davidson</dc:creator>
  <cp:lastModifiedBy>Glen Davidson</cp:lastModifiedBy>
  <dcterms:created xsi:type="dcterms:W3CDTF">2026-04-09T17:40:37Z</dcterms:created>
  <dcterms:modified xsi:type="dcterms:W3CDTF">2026-04-13T19:35:10Z</dcterms:modified>
</cp:coreProperties>
</file>